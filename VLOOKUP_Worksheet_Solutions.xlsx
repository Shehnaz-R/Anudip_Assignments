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nudip_study material\excel\"/>
    </mc:Choice>
  </mc:AlternateContent>
  <bookViews>
    <workbookView xWindow="0" yWindow="0" windowWidth="24000" windowHeight="9510"/>
  </bookViews>
  <sheets>
    <sheet name="Products" sheetId="1" r:id="rId1"/>
    <sheet name="Orders" sheetId="2" r:id="rId2"/>
    <sheet name="Analysis" sheetId="3" r:id="rId3"/>
    <sheet name="Product Summary" sheetId="4" r:id="rId4"/>
  </sheets>
  <calcPr calcId="162913"/>
</workbook>
</file>

<file path=xl/calcChain.xml><?xml version="1.0" encoding="utf-8"?>
<calcChain xmlns="http://schemas.openxmlformats.org/spreadsheetml/2006/main">
  <c r="A2" i="4" l="1"/>
  <c r="C2" i="4"/>
  <c r="C3" i="4"/>
  <c r="C4" i="4"/>
  <c r="C5" i="4"/>
  <c r="C6" i="4"/>
  <c r="C7" i="4"/>
  <c r="B3" i="4"/>
  <c r="B4" i="4"/>
  <c r="B5" i="4"/>
  <c r="B6" i="4"/>
  <c r="B7" i="4"/>
  <c r="B2" i="4"/>
  <c r="A7" i="4"/>
  <c r="A3" i="4"/>
  <c r="A4" i="4"/>
  <c r="A5" i="4"/>
  <c r="A6" i="4"/>
  <c r="H6" i="2"/>
  <c r="B2" i="3"/>
  <c r="G7" i="2"/>
  <c r="G5" i="2"/>
  <c r="G4" i="2"/>
  <c r="G3" i="2"/>
  <c r="G2" i="2"/>
  <c r="G6" i="2"/>
  <c r="H3" i="2"/>
  <c r="H4" i="2"/>
  <c r="H5" i="2"/>
  <c r="H7" i="2"/>
  <c r="H2" i="2"/>
  <c r="F2" i="2"/>
  <c r="F3" i="2"/>
  <c r="F4" i="2"/>
  <c r="F5" i="2"/>
  <c r="F6" i="2"/>
  <c r="F7" i="2"/>
  <c r="E2" i="2"/>
  <c r="E3" i="2"/>
  <c r="E4" i="2"/>
  <c r="E5" i="2"/>
  <c r="E6" i="2"/>
  <c r="E7" i="2"/>
  <c r="D7" i="2"/>
  <c r="D6" i="2"/>
  <c r="D3" i="2"/>
  <c r="D4" i="2"/>
  <c r="D5" i="2"/>
  <c r="D2" i="2"/>
</calcChain>
</file>

<file path=xl/sharedStrings.xml><?xml version="1.0" encoding="utf-8"?>
<sst xmlns="http://schemas.openxmlformats.org/spreadsheetml/2006/main" count="25" uniqueCount="24">
  <si>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</si>
  <si>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</si>
  <si>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</si>
  <si>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</si>
  <si>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</si>
  <si>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</si>
  <si>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</si>
  <si>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</si>
  <si>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</si>
  <si>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</si>
  <si>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</si>
  <si>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</si>
  <si>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UnitPrice</t>
  </si>
  <si>
    <t>TotalPrice</t>
  </si>
  <si>
    <t>DiscountedPrice</t>
  </si>
  <si>
    <t>Exists?</t>
  </si>
  <si>
    <t xml:space="preserve">Task </t>
  </si>
  <si>
    <t>maximum order value</t>
  </si>
  <si>
    <t>Result</t>
  </si>
  <si>
    <t xml:space="preserve">product not ordered </t>
  </si>
  <si>
    <t>all product ordered</t>
  </si>
  <si>
    <t>Product_id</t>
  </si>
  <si>
    <t>Product_name</t>
  </si>
  <si>
    <t>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</si>
</sst>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113276</xdr:rowOff>
    </xdr:from>
    <xdr:ext cx="20442840" cy="10299101"/>
    <xdr:sp macro="" textlink="">
      <xdr:nvSpPr>
        <xdr:cNvPr id="2" name="TextBox 1"/>
        <xdr:cNvSpPr txBox="1"/>
      </xdr:nvSpPr>
      <xdr:spPr>
        <a:xfrm>
          <a:off x="0" y="2208776"/>
          <a:ext cx="20442840" cy="1029910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b">
          <a:spAutoFit/>
        </a:bodyPr>
        <a:lstStyle/>
        <a:p>
          <a:r>
            <a:rPr lang="en-US" sz="1200" b="1"/>
            <a:t>Syntax</a:t>
          </a:r>
          <a:r>
            <a:rPr lang="en-US" sz="1200" b="1" baseline="0"/>
            <a:t> :- </a:t>
          </a:r>
          <a:r>
            <a:rPr lang="en-US" sz="1200"/>
            <a:t>=VLOOKUP(lookup_value, table_array, col_index_num, [range_lookup])</a:t>
          </a:r>
        </a:p>
        <a:p>
          <a:pPr algn="l"/>
          <a:endParaRPr lang="en-US" sz="1200" b="1"/>
        </a:p>
        <a:p>
          <a:r>
            <a:rPr lang="en-US" sz="1200" b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B7 (Lookup Value)</a:t>
          </a:r>
          <a:r>
            <a:rPr lang="en-US" sz="1200" b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This is the search term.</a:t>
          </a:r>
        </a:p>
        <a:p>
          <a:r>
            <a:rPr lang="en-US" sz="1200" b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Excel searches for whatever text, number, or ID is inside cell B7.</a:t>
          </a:r>
        </a:p>
        <a:p>
          <a:r>
            <a:rPr lang="en-US" sz="1200" b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Products!A2:C7 (Table Array)</a:t>
          </a:r>
          <a:r>
            <a:rPr lang="en-US" sz="1200" b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This is the search range.</a:t>
          </a:r>
        </a:p>
        <a:p>
          <a:r>
            <a:rPr lang="en-US" sz="1200" b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It tells Excel to look inside the sheet named </a:t>
          </a:r>
          <a:r>
            <a:rPr lang="en-US" sz="1200" b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Products</a:t>
          </a:r>
          <a:r>
            <a:rPr lang="en-US" sz="1200" b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from cell </a:t>
          </a:r>
          <a:r>
            <a:rPr lang="en-US" sz="1200" b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A2 to C7</a:t>
          </a:r>
          <a:r>
            <a:rPr lang="en-US" sz="1200" b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sz="1200" b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Excel will always search for your lookup value (B7) in the </a:t>
          </a:r>
          <a:r>
            <a:rPr lang="en-US" sz="1200" b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very first column</a:t>
          </a:r>
          <a:r>
            <a:rPr lang="en-US" sz="1200" b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of this range (Column A).</a:t>
          </a:r>
        </a:p>
        <a:p>
          <a:r>
            <a:rPr lang="en-US" sz="1200" b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 (Column Index Number)</a:t>
          </a:r>
          <a:r>
            <a:rPr lang="en-US" sz="1200" b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This is the return column.</a:t>
          </a:r>
        </a:p>
        <a:p>
          <a:r>
            <a:rPr lang="en-US" sz="1200" b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Once Excel finds the match in Column A, it counts across to the </a:t>
          </a:r>
          <a:r>
            <a:rPr lang="en-US" sz="1200" b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2nd column</a:t>
          </a:r>
          <a:r>
            <a:rPr lang="en-US" sz="1200" b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(Column B) and returns that value.</a:t>
          </a:r>
        </a:p>
        <a:p>
          <a:r>
            <a:rPr lang="en-US" sz="1200" b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FALSE (Range Lookup)</a:t>
          </a:r>
          <a:r>
            <a:rPr lang="en-US" sz="1200" b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This demands an </a:t>
          </a:r>
          <a:r>
            <a:rPr lang="en-US" sz="1200" b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exact match</a:t>
          </a:r>
          <a:r>
            <a:rPr lang="en-US" sz="1200" b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US" sz="1200" b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If the exact value in B7 is not found, the formula returns a #N/A error instead of guessing with a partial match.</a:t>
          </a:r>
        </a:p>
        <a:p>
          <a:endParaRPr lang="en-US" sz="1400" b="1"/>
        </a:p>
        <a:p>
          <a:endParaRPr lang="en-US" sz="1400" b="1"/>
        </a:p>
        <a:p>
          <a:r>
            <a:rPr lang="en-US" sz="1400" b="1"/>
            <a:t>1. Use VLOOKUP to find the product names for each ProductID in the Orders worksheet.</a:t>
          </a:r>
        </a:p>
        <a:p>
          <a:endParaRPr lang="en-US" sz="1400" b="1"/>
        </a:p>
        <a:p>
          <a:r>
            <a:rPr lang="en-US" sz="1600" b="1"/>
            <a:t>=&gt; </a:t>
          </a:r>
          <a:r>
            <a:rPr lang="en-US" sz="1600" b="1">
              <a:solidFill>
                <a:srgbClr val="FF0000"/>
              </a:solidFill>
            </a:rPr>
            <a:t>=VLOOKUP(B7,Products!A2:C7,2,FALSE)  </a:t>
          </a:r>
        </a:p>
        <a:p>
          <a:endParaRPr lang="en-US" sz="1600" b="1">
            <a:solidFill>
              <a:srgbClr val="FF0000"/>
            </a:solidFill>
          </a:endParaRPr>
        </a:p>
        <a:p>
          <a:r>
            <a:rPr lang="en-US" sz="1600" b="1">
              <a:solidFill>
                <a:srgbClr val="FF0000"/>
              </a:solidFill>
            </a:rPr>
            <a:t>****************** extra unit price ************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=VLOOKUP(B6,Products!A2:C7,3,FALSE)</a:t>
          </a:r>
          <a:endParaRPr lang="en-US" sz="1600">
            <a:effectLst/>
          </a:endParaRPr>
        </a:p>
        <a:p>
          <a:endParaRPr lang="en-US" sz="1400" b="1"/>
        </a:p>
        <a:p>
          <a:r>
            <a:rPr lang="en-US" sz="1400" b="1"/>
            <a:t>2. Use VLOOKUP to find the price for each ProductID in the Orders worksheet, then calculate the TotalPrice by multiplying the Quantity by the Product Price.</a:t>
          </a:r>
        </a:p>
        <a:p>
          <a:endParaRPr lang="en-US" sz="1600" b="1">
            <a:solidFill>
              <a:srgbClr val="FF0000"/>
            </a:solidFill>
          </a:endParaRPr>
        </a:p>
        <a:p>
          <a:r>
            <a:rPr lang="en-US" sz="1600" b="1">
              <a:solidFill>
                <a:srgbClr val="FF0000"/>
              </a:solidFill>
            </a:rPr>
            <a:t>=C2*E2</a:t>
          </a:r>
        </a:p>
        <a:p>
          <a:endParaRPr lang="en-US" sz="1400" b="1"/>
        </a:p>
        <a:p>
          <a:r>
            <a:rPr lang="en-US" sz="1400" b="1"/>
            <a:t>3. Use VLOOKUP to check if there are any ProductIDs in the Orders worksheet that do not exist in the Products worksheet.</a:t>
          </a:r>
        </a:p>
        <a:p>
          <a:endParaRPr lang="en-US" sz="1400" b="1"/>
        </a:p>
        <a:p>
          <a:r>
            <a:rPr lang="en-US" sz="1400" b="1"/>
            <a:t>[</a:t>
          </a:r>
          <a:r>
            <a:rPr lang="en-US" sz="1400"/>
            <a:t>Excel takes the value from cell B2 \(\rightarrow \) searches for it in the locked master list range Products!$A$2:$C$7 \(\rightarrow \) checks column 1 for an exact match \(\rightarrow \) if missing (ISNA is true), it outputs "Not Found" \(\rightarrow \) if found, it outputs "Exists".</a:t>
          </a:r>
          <a:r>
            <a:rPr lang="en-US" sz="1400" b="1"/>
            <a:t>]</a:t>
          </a:r>
        </a:p>
        <a:p>
          <a:r>
            <a:rPr lang="en-US" sz="1600" b="1">
              <a:solidFill>
                <a:srgbClr val="FF0000"/>
              </a:solidFill>
            </a:rPr>
            <a:t>=&gt; </a:t>
          </a:r>
          <a:r>
            <a:rPr lang="en-US" sz="16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=IF(ISNA(VLOOKUP(B2,Products!$A$2:$C$7,1,FALSE)),"Not Found","Exists")</a:t>
          </a:r>
        </a:p>
        <a:p>
          <a:endParaRPr lang="en-US" sz="1600" b="1">
            <a:solidFill>
              <a:srgbClr val="FF0000"/>
            </a:solidFill>
          </a:endParaRPr>
        </a:p>
        <a:p>
          <a:r>
            <a:rPr lang="en-US" sz="1400" b="1"/>
            <a:t>4. Assume a discount of 10% is given on all products. Use VLOOKUP to find the original price and then calculate the discounted price.</a:t>
          </a:r>
        </a:p>
        <a:p>
          <a:endParaRPr lang="en-US" sz="1400" b="1"/>
        </a:p>
        <a:p>
          <a:r>
            <a:rPr lang="en-US" sz="1400" b="1">
              <a:solidFill>
                <a:srgbClr val="FF0000"/>
              </a:solidFill>
            </a:rPr>
            <a:t>=E2-(E2*10%)</a:t>
          </a:r>
        </a:p>
        <a:p>
          <a:endParaRPr lang="en-US" sz="1400" b="1">
            <a:solidFill>
              <a:srgbClr val="FF0000"/>
            </a:solidFill>
          </a:endParaRPr>
        </a:p>
        <a:p>
          <a:r>
            <a:rPr lang="en-US" sz="1400" b="1">
              <a:solidFill>
                <a:srgbClr val="FF0000"/>
              </a:solidFill>
            </a:rPr>
            <a:t>=E7*90%</a:t>
          </a:r>
        </a:p>
        <a:p>
          <a:endParaRPr lang="en-US" sz="1400" b="1"/>
        </a:p>
        <a:p>
          <a:r>
            <a:rPr lang="en-US" sz="1400" b="1"/>
            <a:t>5. Use VLOOKUP to find the price for each ProductID and then calculate the order value. Find the maximum order value from the list.</a:t>
          </a:r>
        </a:p>
        <a:p>
          <a:r>
            <a:rPr lang="en-US" sz="1400" b="1"/>
            <a:t>order value == totalprice</a:t>
          </a:r>
        </a:p>
        <a:p>
          <a:endParaRPr lang="en-US" sz="1400" b="1"/>
        </a:p>
        <a:p>
          <a:r>
            <a:rPr lang="en-US" sz="1400" b="1"/>
            <a:t>in anaysis </a:t>
          </a:r>
        </a:p>
        <a:p>
          <a:endParaRPr lang="en-US" sz="1400" b="1"/>
        </a:p>
        <a:p>
          <a:r>
            <a:rPr lang="en-US" sz="1400" b="1"/>
            <a:t>6. Use VLOOKUP to find out which products from the Products worksheet have not been ordered.</a:t>
          </a:r>
        </a:p>
        <a:p>
          <a:endParaRPr lang="en-US" sz="1400" b="1"/>
        </a:p>
        <a:p>
          <a:r>
            <a:rPr lang="en-US" sz="1400" b="1"/>
            <a:t>as exist</a:t>
          </a:r>
          <a:r>
            <a:rPr lang="en-US" sz="1400" b="1" baseline="0"/>
            <a:t> and not exist column </a:t>
          </a:r>
          <a:endParaRPr lang="en-US" sz="1400" b="1"/>
        </a:p>
        <a:p>
          <a:endParaRPr lang="en-US" sz="1400" b="1"/>
        </a:p>
        <a:p>
          <a:r>
            <a:rPr lang="en-US" sz="1400" b="1"/>
            <a:t>7. Use VLOOKUP to find the Product name and summarize the total quantity sold for each product.</a:t>
          </a:r>
        </a:p>
        <a:p>
          <a:endParaRPr lang="en-US" sz="1400" b="1"/>
        </a:p>
        <a:p>
          <a:endParaRPr lang="en-US" sz="1400" b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828675</xdr:colOff>
      <xdr:row>9</xdr:row>
      <xdr:rowOff>161925</xdr:rowOff>
    </xdr:from>
    <xdr:ext cx="4286250" cy="2331279"/>
    <xdr:sp macro="" textlink="">
      <xdr:nvSpPr>
        <xdr:cNvPr id="2" name="TextBox 1"/>
        <xdr:cNvSpPr txBox="1"/>
      </xdr:nvSpPr>
      <xdr:spPr>
        <a:xfrm>
          <a:off x="828675" y="1876425"/>
          <a:ext cx="4286250" cy="233127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/>
            <a:t>=Products!A2</a:t>
          </a:r>
        </a:p>
        <a:p>
          <a:r>
            <a:rPr lang="en-US" sz="1100" b="1"/>
            <a:t>* TO FETCH THE VALUE OF PRODUCT_NAME FROM PRODUCT SHEET TO PRODUCT_SUMMARY SHEET WITH VLOOKUP</a:t>
          </a:r>
        </a:p>
        <a:p>
          <a:r>
            <a:rPr lang="en-US" sz="1100"/>
            <a:t>=&gt; </a:t>
          </a:r>
          <a:r>
            <a:rPr lang="en-US" sz="1100">
              <a:solidFill>
                <a:srgbClr val="FF0000"/>
              </a:solidFill>
            </a:rPr>
            <a:t>=VLOOKUP(A2, Products!A:B, 2, FALSE)</a:t>
          </a:r>
        </a:p>
        <a:p>
          <a:r>
            <a:rPr lang="en-US" sz="1100" b="1"/>
            <a:t>* TO FETCH THE QUANTITY FROM ORDER TO PRODUCT SUMMARY SHEET </a:t>
          </a:r>
        </a:p>
        <a:p>
          <a:r>
            <a:rPr lang="en-US" sz="1100" b="1">
              <a:solidFill>
                <a:srgbClr val="FF0000"/>
              </a:solidFill>
            </a:rPr>
            <a:t>=SUMIF(Orders</a:t>
          </a:r>
          <a:r>
            <a:rPr lang="en-US" sz="1100">
              <a:solidFill>
                <a:srgbClr val="FF0000"/>
              </a:solidFill>
            </a:rPr>
            <a:t>!$B$2:$B$7,A2,Orders!$C$2:$C$7)</a:t>
          </a:r>
        </a:p>
        <a:p>
          <a:r>
            <a:rPr lang="en-US" sz="1100">
              <a:solidFill>
                <a:schemeClr val="tx1"/>
              </a:solidFill>
            </a:rPr>
            <a:t>B2-B7 IS THE PRODUCT_ID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A2 = PRODUCT ID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CELL NUM OF NEW SHEET  WE WANT TO FETCH FOR </a:t>
          </a:r>
          <a:endParaRPr lang="en-US">
            <a:effectLst/>
          </a:endParaRPr>
        </a:p>
        <a:p>
          <a:r>
            <a:rPr lang="en-US" sz="1100">
              <a:solidFill>
                <a:schemeClr val="tx1"/>
              </a:solidFill>
            </a:rPr>
            <a:t>ORDER TABLE C2-C7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* TO FETCH THE QUANTITY FROM ORDER TO PRODUCT SUMMARY SHEET </a:t>
          </a:r>
          <a:endParaRPr lang="en-US">
            <a:effectLst/>
          </a:endParaRPr>
        </a:p>
        <a:p>
          <a:endParaRPr lang="en-US" sz="110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E13" sqref="E13"/>
    </sheetView>
  </sheetViews>
  <sheetFormatPr defaultRowHeight="15" x14ac:dyDescent="0.25"/>
  <cols>
    <col min="1" max="2" width="14" customWidth="1"/>
    <col min="3" max="3" width="10" customWidth="1"/>
    <col min="4" max="4" width="16.425781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101</v>
      </c>
      <c r="B2" t="s">
        <v>3</v>
      </c>
      <c r="C2">
        <v>120</v>
      </c>
    </row>
    <row r="3" spans="1:3" x14ac:dyDescent="0.25">
      <c r="A3">
        <v>102</v>
      </c>
      <c r="B3" t="s">
        <v>4</v>
      </c>
      <c r="C3">
        <v>150</v>
      </c>
    </row>
    <row r="4" spans="1:3" x14ac:dyDescent="0.25">
      <c r="A4">
        <v>103</v>
      </c>
      <c r="B4" t="s">
        <v>5</v>
      </c>
      <c r="C4">
        <v>200</v>
      </c>
    </row>
    <row r="5" spans="1:3" x14ac:dyDescent="0.25">
      <c r="A5">
        <v>104</v>
      </c>
      <c r="B5" t="s">
        <v>6</v>
      </c>
      <c r="C5">
        <v>90</v>
      </c>
    </row>
    <row r="6" spans="1:3" x14ac:dyDescent="0.25">
      <c r="A6">
        <v>105</v>
      </c>
      <c r="B6" t="s">
        <v>7</v>
      </c>
      <c r="C6">
        <v>220</v>
      </c>
    </row>
    <row r="7" spans="1:3" x14ac:dyDescent="0.25">
      <c r="A7">
        <v>106</v>
      </c>
      <c r="B7" t="s">
        <v>8</v>
      </c>
      <c r="C7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zoomScale="55" zoomScaleNormal="55" workbookViewId="0">
      <selection activeCell="P30" sqref="P30:P31"/>
    </sheetView>
  </sheetViews>
  <sheetFormatPr defaultRowHeight="15" x14ac:dyDescent="0.25"/>
  <cols>
    <col min="1" max="1" width="12" customWidth="1"/>
    <col min="2" max="2" width="14" customWidth="1"/>
    <col min="3" max="3" width="13" customWidth="1"/>
    <col min="4" max="4" width="44" customWidth="1"/>
    <col min="5" max="5" width="9.28515625" bestFit="1" customWidth="1"/>
    <col min="6" max="6" width="9.85546875" bestFit="1" customWidth="1"/>
    <col min="7" max="7" width="15.5703125" bestFit="1" customWidth="1"/>
    <col min="8" max="8" width="7" bestFit="1" customWidth="1"/>
  </cols>
  <sheetData>
    <row r="1" spans="1:9" x14ac:dyDescent="0.25">
      <c r="A1" s="2" t="s">
        <v>9</v>
      </c>
      <c r="B1" s="2" t="s">
        <v>0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/>
    </row>
    <row r="2" spans="1:9" x14ac:dyDescent="0.25">
      <c r="A2">
        <v>1</v>
      </c>
      <c r="B2">
        <v>101</v>
      </c>
      <c r="C2">
        <v>2</v>
      </c>
      <c r="D2" t="str">
        <f>VLOOKUP(B2,Products!A2:C7,2,FALSE)</f>
        <v>Product A</v>
      </c>
      <c r="E2">
        <f>VLOOKUP(B2,Products!A2:C7,3,FALSE)</f>
        <v>120</v>
      </c>
      <c r="F2">
        <f>C2*E2</f>
        <v>240</v>
      </c>
      <c r="G2">
        <f>E2-(E2*10%)</f>
        <v>108</v>
      </c>
      <c r="H2" t="str">
        <f>IF(ISNA(VLOOKUP(B2,Products!$A$2:$C$7,1,FALSE)),"Not Found","Exists")</f>
        <v>Exists</v>
      </c>
    </row>
    <row r="3" spans="1:9" x14ac:dyDescent="0.25">
      <c r="A3">
        <v>2</v>
      </c>
      <c r="B3">
        <v>103</v>
      </c>
      <c r="C3">
        <v>1</v>
      </c>
      <c r="D3" t="str">
        <f>VLOOKUP(B3,Products!A3:C8,2,FALSE)</f>
        <v>Product C</v>
      </c>
      <c r="E3">
        <f>VLOOKUP(B3,Products!A3:C8,3,FALSE)</f>
        <v>200</v>
      </c>
      <c r="F3">
        <f t="shared" ref="F3:F7" si="0">C3*E3</f>
        <v>200</v>
      </c>
      <c r="G3">
        <f>E3*90%</f>
        <v>180</v>
      </c>
      <c r="H3" t="str">
        <f>IF(ISNA(VLOOKUP(B3,Products!$A$2:$C$7,1,FALSE)),"Not Found","Exists")</f>
        <v>Exists</v>
      </c>
    </row>
    <row r="4" spans="1:9" x14ac:dyDescent="0.25">
      <c r="A4">
        <v>3</v>
      </c>
      <c r="B4">
        <v>105</v>
      </c>
      <c r="C4">
        <v>4</v>
      </c>
      <c r="D4" t="str">
        <f>VLOOKUP(B4,Products!A4:C9,2,FALSE)</f>
        <v>Product E</v>
      </c>
      <c r="E4">
        <f>VLOOKUP(B4,Products!A2:C7,3,FALSE)</f>
        <v>220</v>
      </c>
      <c r="F4">
        <f t="shared" si="0"/>
        <v>880</v>
      </c>
      <c r="G4">
        <f t="shared" ref="G4:G6" si="1">E4-(E4*10%)</f>
        <v>198</v>
      </c>
      <c r="H4" t="str">
        <f>IF(ISNA(VLOOKUP(B4,Products!$A$2:$C$7,1,FALSE)),"Not Found","Exists")</f>
        <v>Exists</v>
      </c>
    </row>
    <row r="5" spans="1:9" x14ac:dyDescent="0.25">
      <c r="A5">
        <v>4</v>
      </c>
      <c r="B5">
        <v>106</v>
      </c>
      <c r="C5">
        <v>3</v>
      </c>
      <c r="D5" t="str">
        <f>VLOOKUP(B5,Products!A5:C10,2,FALSE)</f>
        <v>Product F</v>
      </c>
      <c r="E5">
        <f>VLOOKUP(B5,Products!A3:C8,3,FALSE)</f>
        <v>130</v>
      </c>
      <c r="F5">
        <f t="shared" si="0"/>
        <v>390</v>
      </c>
      <c r="G5">
        <f t="shared" si="1"/>
        <v>117</v>
      </c>
      <c r="H5" t="str">
        <f>IF(ISNA(VLOOKUP(B5,Products!$A$2:$C$7,1,FALSE)),"Not Found","Exists")</f>
        <v>Exists</v>
      </c>
    </row>
    <row r="6" spans="1:9" x14ac:dyDescent="0.25">
      <c r="A6">
        <v>5</v>
      </c>
      <c r="B6">
        <v>102</v>
      </c>
      <c r="C6">
        <v>5</v>
      </c>
      <c r="D6" t="str">
        <f>VLOOKUP(B6,Products!A2:C7,2,FALSE)</f>
        <v>Product B</v>
      </c>
      <c r="E6">
        <f>VLOOKUP(B6,Products!A2:C7,3,FALSE)</f>
        <v>150</v>
      </c>
      <c r="F6">
        <f t="shared" si="0"/>
        <v>750</v>
      </c>
      <c r="G6">
        <f t="shared" si="1"/>
        <v>135</v>
      </c>
      <c r="H6" t="str">
        <f>IF(ISNA(VLOOKUP(B6,Products!$A$2:$C$7,1,FALSE)),"Not Found","Exists")</f>
        <v>Exists</v>
      </c>
    </row>
    <row r="7" spans="1:9" x14ac:dyDescent="0.25">
      <c r="A7">
        <v>6</v>
      </c>
      <c r="B7">
        <v>104</v>
      </c>
      <c r="C7">
        <v>6</v>
      </c>
      <c r="D7" t="str">
        <f>VLOOKUP(B7,Products!A2:C7,2,FALSE)</f>
        <v>Product D</v>
      </c>
      <c r="E7">
        <f>VLOOKUP(B7,Products!A5:C10,3,FALSE)</f>
        <v>90</v>
      </c>
      <c r="F7">
        <f t="shared" si="0"/>
        <v>540</v>
      </c>
      <c r="G7">
        <f>E7*90%</f>
        <v>81</v>
      </c>
      <c r="H7" t="str">
        <f>IF(ISNA(VLOOKUP(B7,Products!$A$2:$C$7,1,FALSE)),"Not Found","Exists")</f>
        <v>Exists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13" sqref="A13"/>
    </sheetView>
  </sheetViews>
  <sheetFormatPr defaultRowHeight="15" x14ac:dyDescent="0.25"/>
  <cols>
    <col min="1" max="1" width="42" customWidth="1"/>
    <col min="2" max="2" width="23" customWidth="1"/>
  </cols>
  <sheetData>
    <row r="1" spans="1:2" x14ac:dyDescent="0.25">
      <c r="A1" s="2" t="s">
        <v>16</v>
      </c>
      <c r="B1" s="2" t="s">
        <v>18</v>
      </c>
    </row>
    <row r="2" spans="1:2" x14ac:dyDescent="0.25">
      <c r="A2" t="s">
        <v>17</v>
      </c>
      <c r="B2">
        <f>MAX(Orders!F2:F7)</f>
        <v>880</v>
      </c>
    </row>
    <row r="3" spans="1:2" x14ac:dyDescent="0.25">
      <c r="A3" t="s">
        <v>19</v>
      </c>
      <c r="B3" t="s">
        <v>20</v>
      </c>
    </row>
    <row r="4" spans="1:2" x14ac:dyDescent="0.25">
      <c r="A4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E6" sqref="E6"/>
    </sheetView>
  </sheetViews>
  <sheetFormatPr defaultRowHeight="15" x14ac:dyDescent="0.25"/>
  <cols>
    <col min="1" max="2" width="17" customWidth="1"/>
    <col min="3" max="3" width="37" customWidth="1"/>
  </cols>
  <sheetData>
    <row r="1" spans="1:4" x14ac:dyDescent="0.25">
      <c r="A1" s="2" t="s">
        <v>21</v>
      </c>
      <c r="B1" s="2" t="s">
        <v>22</v>
      </c>
      <c r="C1" s="2" t="s">
        <v>23</v>
      </c>
      <c r="D1" s="1"/>
    </row>
    <row r="2" spans="1:4" x14ac:dyDescent="0.25">
      <c r="A2">
        <f>Products!A2</f>
        <v>101</v>
      </c>
      <c r="B2" t="str">
        <f>VLOOKUP(A2, Products!A:B, 2, FALSE)</f>
        <v>Product A</v>
      </c>
      <c r="C2">
        <f>SUMIF(Orders!$B$2:$B$7,A2,Orders!$C$2:$C$7)</f>
        <v>2</v>
      </c>
    </row>
    <row r="3" spans="1:4" x14ac:dyDescent="0.25">
      <c r="A3">
        <f>Products!A3</f>
        <v>102</v>
      </c>
      <c r="B3" t="str">
        <f>VLOOKUP(A3, Products!A:B, 2, FALSE)</f>
        <v>Product B</v>
      </c>
      <c r="C3">
        <f>SUMIF(Orders!$B$2:$B$7,A3,Orders!$C$2:$C$7)</f>
        <v>5</v>
      </c>
    </row>
    <row r="4" spans="1:4" x14ac:dyDescent="0.25">
      <c r="A4">
        <f>Products!A4</f>
        <v>103</v>
      </c>
      <c r="B4" t="str">
        <f>VLOOKUP(A4, Products!A:B, 2, FALSE)</f>
        <v>Product C</v>
      </c>
      <c r="C4">
        <f>SUMIF(Orders!$B$2:$B$7,A4,Orders!$C$2:$C$7)</f>
        <v>1</v>
      </c>
    </row>
    <row r="5" spans="1:4" x14ac:dyDescent="0.25">
      <c r="A5">
        <f>Products!A5</f>
        <v>104</v>
      </c>
      <c r="B5" t="str">
        <f>VLOOKUP(A5, Products!A:B, 2, FALSE)</f>
        <v>Product D</v>
      </c>
      <c r="C5">
        <f>SUMIF(Orders!$B$2:$B$7,A5,Orders!$C$2:$C$7)</f>
        <v>6</v>
      </c>
    </row>
    <row r="6" spans="1:4" x14ac:dyDescent="0.25">
      <c r="A6">
        <f>Products!A6</f>
        <v>105</v>
      </c>
      <c r="B6" t="str">
        <f>VLOOKUP(A6, Products!A:B, 2, FALSE)</f>
        <v>Product E</v>
      </c>
      <c r="C6">
        <f>SUMIF(Orders!$B$2:$B$7,A6,Orders!$C$2:$C$7)</f>
        <v>4</v>
      </c>
    </row>
    <row r="7" spans="1:4" x14ac:dyDescent="0.25">
      <c r="A7">
        <f>Products!A7</f>
        <v>106</v>
      </c>
      <c r="B7" t="str">
        <f>VLOOKUP(A7, Products!A:B, 2, FALSE)</f>
        <v>Product F</v>
      </c>
      <c r="C7">
        <f>SUMIF(Orders!$B$2:$B$7,A7,Orders!$C$2:$C$7)</f>
        <v>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Orders</vt:lpstr>
      <vt:lpstr>Analysis</vt:lpstr>
      <vt:lpstr>Product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2026-05-18T03:48:30Z</dcterms:created>
  <dcterms:modified xsi:type="dcterms:W3CDTF">2026-05-18T08:31:28Z</dcterms:modified>
</cp:coreProperties>
</file>