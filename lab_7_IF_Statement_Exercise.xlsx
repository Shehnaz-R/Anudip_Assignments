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7970" windowHeight="5370"/>
  </bookViews>
  <sheets>
    <sheet name="SalesData" sheetId="1" r:id="rId1"/>
  </sheets>
  <calcPr calcId="162913"/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N2" i="1"/>
  <c r="N3" i="1"/>
  <c r="N4" i="1"/>
  <c r="N5" i="1"/>
  <c r="N6" i="1"/>
  <c r="N7" i="1"/>
  <c r="L3" i="1"/>
  <c r="L4" i="1"/>
  <c r="L5" i="1"/>
  <c r="L6" i="1"/>
  <c r="L7" i="1"/>
  <c r="L2" i="1"/>
  <c r="K2" i="1"/>
  <c r="K3" i="1"/>
  <c r="K4" i="1"/>
  <c r="K5" i="1"/>
  <c r="K6" i="1"/>
  <c r="K7" i="1"/>
  <c r="J2" i="1"/>
  <c r="J3" i="1"/>
  <c r="J4" i="1"/>
  <c r="J5" i="1"/>
  <c r="J6" i="1"/>
  <c r="J7" i="1"/>
  <c r="I2" i="1"/>
  <c r="I3" i="1"/>
  <c r="I4" i="1"/>
  <c r="I5" i="1"/>
  <c r="I6" i="1"/>
  <c r="I7" i="1"/>
  <c r="H2" i="1"/>
  <c r="H3" i="1"/>
  <c r="H4" i="1"/>
  <c r="H5" i="1"/>
  <c r="H6" i="1"/>
  <c r="H7" i="1"/>
  <c r="G2" i="1"/>
  <c r="G3" i="1"/>
  <c r="G4" i="1"/>
  <c r="G5" i="1"/>
  <c r="G6" i="1"/>
  <c r="G7" i="1"/>
  <c r="F4" i="1"/>
  <c r="F5" i="1"/>
  <c r="F6" i="1"/>
  <c r="F7" i="1"/>
  <c r="F3" i="1"/>
  <c r="F2" i="1"/>
</calcChain>
</file>

<file path=xl/sharedStrings.xml><?xml version="1.0" encoding="utf-8"?>
<sst xmlns="http://schemas.openxmlformats.org/spreadsheetml/2006/main" count="25" uniqueCount="23">
  <si>
    <t>ProductID</t>
  </si>
  <si>
    <t>Product</t>
  </si>
  <si>
    <t>Sales</t>
  </si>
  <si>
    <t>Target</t>
  </si>
  <si>
    <t>Region</t>
  </si>
  <si>
    <t>Target Met?</t>
  </si>
  <si>
    <t>Regional Bonus Eligible?</t>
  </si>
  <si>
    <t>Commission Rate</t>
  </si>
  <si>
    <t>Bonus Amount</t>
  </si>
  <si>
    <t>Performance</t>
  </si>
  <si>
    <t>Price Tier</t>
  </si>
  <si>
    <t>Year-End Bonus</t>
  </si>
  <si>
    <t>High Performer?</t>
  </si>
  <si>
    <t>Product A</t>
  </si>
  <si>
    <t>North</t>
  </si>
  <si>
    <t>Product B</t>
  </si>
  <si>
    <t>South</t>
  </si>
  <si>
    <t>Product C</t>
  </si>
  <si>
    <t>East</t>
  </si>
  <si>
    <t>Product D</t>
  </si>
  <si>
    <t>West</t>
  </si>
  <si>
    <t>Product E</t>
  </si>
  <si>
    <t>Product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</si>
</sst>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4">
    <xf numFmtId="0" fontId="0" fillId="0" borderId="0" xfId="0"/>
    <xf numFmtId="44" fontId="0" fillId="0" borderId="0" xfId="1" applyFont="1" applyAlignment="1">
      <alignment horizontal="right"/>
    </xf>
    <xf numFmtId="0" fontId="1" fillId="2" borderId="0" xfId="0" applyFont="1" applyFill="1"/>
    <xf numFmtId="44" fontId="1" fillId="2" borderId="0" xfId="1" applyFont="1" applyFill="1" applyAlignment="1">
      <alignment horizontal="right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773431</xdr:colOff>
      <xdr:row>9</xdr:row>
      <xdr:rowOff>0</xdr:rowOff>
    </xdr:from>
    <xdr:to>
      <xdr:col>7</xdr:col>
      <xdr:colOff>523875</xdr:colOff>
      <xdr:row>41</xdr:row>
      <xdr:rowOff>19050</xdr:rowOff>
    </xdr:to>
    <xdr:sp macro="" textlink="">
      <xdr:nvSpPr>
        <xdr:cNvPr id="2" name="TextBox 1"/>
        <xdr:cNvSpPr txBox="1"/>
      </xdr:nvSpPr>
      <xdr:spPr>
        <a:xfrm>
          <a:off x="773431" y="1714500"/>
          <a:ext cx="6351269" cy="611505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1. Use the IF function to evaluate whether each product met its sales target.    </a:t>
          </a:r>
        </a:p>
        <a:p>
          <a:r>
            <a:rPr lang="en-US" sz="1100"/>
            <a:t>=&gt; </a:t>
          </a:r>
          <a:r>
            <a:rPr lang="en-US" sz="1100" b="1">
              <a:solidFill>
                <a:srgbClr val="FF0000"/>
              </a:solidFill>
            </a:rPr>
            <a:t>=IF(C2&gt;=D2,"yes","no")</a:t>
          </a:r>
        </a:p>
        <a:p>
          <a:r>
            <a:rPr lang="en-US" sz="1100" b="1"/>
            <a:t>2. Use the IF function to determine if a product is eligible for a regional bonus. Products in the "North" region with sales over 200 are eligible.</a:t>
          </a:r>
        </a:p>
        <a:p>
          <a:r>
            <a:rPr lang="en-US" sz="1100"/>
            <a:t>=&gt; </a:t>
          </a:r>
          <a:r>
            <a:rPr lang="en-US" sz="1100" b="1">
              <a:solidFill>
                <a:srgbClr val="FF0000"/>
              </a:solidFill>
            </a:rPr>
            <a:t>=IF(AND(E2="North",C2&gt;200),"Eligible","Not eligible")</a:t>
          </a:r>
        </a:p>
        <a:p>
          <a:r>
            <a:rPr lang="en-US" sz="1100" b="1"/>
            <a:t>3. Use nested IF functions to assign a commission rate based on sales. Sales &gt;= 200 get a 10% commission, sales &gt;= 150 get a 7% commission, and others get a 5% commission.</a:t>
          </a:r>
        </a:p>
        <a:p>
          <a:r>
            <a:rPr lang="en-US" sz="1100"/>
            <a:t>=&gt;  if sales &gt;=200 then 10% commision =&gt; </a:t>
          </a:r>
          <a:r>
            <a:rPr lang="en-US" sz="1100" b="1">
              <a:solidFill>
                <a:srgbClr val="FF0000"/>
              </a:solidFill>
            </a:rPr>
            <a:t>=IF(C2&gt;=200, C2*10%,0)</a:t>
          </a:r>
        </a:p>
        <a:p>
          <a:r>
            <a:rPr lang="en-US" sz="1100">
              <a:solidFill>
                <a:srgbClr val="FF0000"/>
              </a:solidFill>
            </a:rPr>
            <a:t>      </a:t>
          </a:r>
          <a:r>
            <a:rPr lang="en-US" sz="1100">
              <a:solidFill>
                <a:schemeClr val="tx1"/>
              </a:solidFill>
            </a:rPr>
            <a:t>if sales &gt;=150 get 7% =&gt;  =</a:t>
          </a:r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IF(C2&gt;=150,7%)</a:t>
          </a:r>
          <a:endParaRPr lang="en-US" sz="1100">
            <a:solidFill>
              <a:schemeClr val="tx1"/>
            </a:solidFill>
          </a:endParaRPr>
        </a:p>
        <a:p>
          <a:r>
            <a:rPr lang="en-US" sz="1100" b="1">
              <a:solidFill>
                <a:srgbClr val="FF0000"/>
              </a:solidFill>
            </a:rPr>
            <a:t>=IF(C2&gt;=200, 10%,IF(C2&gt;=150,7%,5%))</a:t>
          </a:r>
        </a:p>
        <a:p>
          <a:endParaRPr lang="en-US" sz="1100" b="1">
            <a:solidFill>
              <a:schemeClr val="tx1"/>
            </a:solidFill>
          </a:endParaRPr>
        </a:p>
        <a:p>
          <a:r>
            <a:rPr lang="en-US" sz="1100" b="1"/>
            <a:t>4. Use the IF function to calculate a bonus amount. If sales met or exceeded the target, the bonus is 10% of the sales; otherwise, it's 5%.</a:t>
          </a:r>
        </a:p>
        <a:p>
          <a:r>
            <a:rPr lang="en-US" sz="1100"/>
            <a:t>=&gt; </a:t>
          </a:r>
          <a:r>
            <a:rPr lang="en-US" sz="1100">
              <a:solidFill>
                <a:srgbClr val="FF0000"/>
              </a:solidFill>
            </a:rPr>
            <a:t>=IF(C2&gt;=D2, 10%,5%)</a:t>
          </a:r>
        </a:p>
        <a:p>
          <a:endParaRPr lang="en-US" sz="1100" b="1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5. Use the IF function to categorize sales performance as "Excellent" (&gt;=200), "Good" (&gt;=150), or "Needs Improvement" </a:t>
          </a:r>
          <a:r>
            <a:rPr lang="en-US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(&lt;150). </a:t>
          </a:r>
          <a:endParaRPr lang="en-US" sz="1100" b="1"/>
        </a:p>
        <a:p>
          <a:r>
            <a:rPr lang="en-US" sz="1100"/>
            <a:t>=&gt; </a:t>
          </a:r>
          <a:r>
            <a:rPr lang="en-US" sz="1100" b="1">
              <a:solidFill>
                <a:srgbClr val="FF0000"/>
              </a:solidFill>
            </a:rPr>
            <a:t>=IF(C2&gt;=200,"excellent",IF(C2&gt;=150,"Good","improvement needed"))</a:t>
          </a:r>
        </a:p>
        <a:p>
          <a:endParaRPr lang="en-US" sz="1100"/>
        </a:p>
        <a:p>
          <a:r>
            <a:rPr lang="en-US" sz="1100" b="1"/>
            <a:t>6.. Use the IF function to assign a price tier based on the sales value. "High" for sales &gt; 200, "Medium" for sales between 100 and 200, and "Low" for sales &lt; 100. </a:t>
          </a:r>
        </a:p>
        <a:p>
          <a:r>
            <a:rPr lang="en-US" sz="1100"/>
            <a:t> =&gt; </a:t>
          </a:r>
          <a:r>
            <a:rPr lang="en-US" sz="1100" b="1">
              <a:solidFill>
                <a:srgbClr val="FF0000"/>
              </a:solidFill>
            </a:rPr>
            <a:t>IF(C2&gt;200, "high", IF(C2&gt;100, "Medium", "low"))</a:t>
          </a:r>
        </a:p>
        <a:p>
          <a:r>
            <a:rPr lang="en-US" sz="1100" b="1">
              <a:solidFill>
                <a:srgbClr val="FF0000"/>
              </a:solidFill>
            </a:rPr>
            <a:t>       alternate </a:t>
          </a:r>
        </a:p>
        <a:p>
          <a:r>
            <a:rPr lang="en-US" sz="1100" b="1" i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=IF(C2&gt;200,"High",IF(C2&gt;=100,"Medium","Low"))</a:t>
          </a:r>
          <a:endParaRPr lang="en-US" sz="1100" b="1">
            <a:solidFill>
              <a:srgbClr val="FF0000"/>
            </a:solidFill>
          </a:endParaRPr>
        </a:p>
        <a:p>
          <a:endParaRPr lang="en-US" sz="1100"/>
        </a:p>
        <a:p>
          <a:r>
            <a:rPr lang="en-US" sz="1100" b="1"/>
            <a:t> 7. Use the IF function to calculate the year-end bonus. If sales &gt;= 150 and region is "North", the bonus is $500, otherwise, it's $300. </a:t>
          </a:r>
        </a:p>
        <a:p>
          <a:r>
            <a:rPr lang="en-US" sz="1100"/>
            <a:t>=&gt;  </a:t>
          </a:r>
          <a:r>
            <a:rPr lang="en-US" sz="1100">
              <a:solidFill>
                <a:srgbClr val="FF0000"/>
              </a:solidFill>
            </a:rPr>
            <a:t>=IF(AND(E2="north",C2&gt;=150),500,300)</a:t>
          </a:r>
        </a:p>
        <a:p>
          <a:endParaRPr lang="en-US" sz="1100">
            <a:solidFill>
              <a:srgbClr val="FF0000"/>
            </a:solidFill>
          </a:endParaRPr>
        </a:p>
        <a:p>
          <a:r>
            <a:rPr lang="en-US" sz="1100" b="1"/>
            <a:t>8. Use the IF function to mark high performers. A product is a high performer if its sales are in the top 25% of all sales.</a:t>
          </a:r>
        </a:p>
        <a:p>
          <a:endParaRPr lang="en-US" sz="1100"/>
        </a:p>
        <a:p>
          <a:r>
            <a:rPr lang="en-US" sz="1100"/>
            <a:t>=&gt;  </a:t>
          </a:r>
          <a:r>
            <a:rPr lang="en-US" sz="1100" b="1">
              <a:solidFill>
                <a:srgbClr val="FF0000"/>
              </a:solidFill>
            </a:rPr>
            <a:t>=IF(C2&gt;=PERCENTILE($C$2:$C$7, 0.75), "High Performer", "Standard")</a:t>
          </a:r>
        </a:p>
        <a:p>
          <a:r>
            <a:rPr lang="en-US" sz="1100" b="1">
              <a:solidFill>
                <a:srgbClr val="FF0000"/>
              </a:solidFill>
            </a:rPr>
            <a:t>=IF(C2&gt;=PERCENTILE($C$2:$C$7, 0.75), "yes", "no")</a:t>
          </a:r>
        </a:p>
        <a:p>
          <a:endParaRPr lang="en-US" sz="11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"/>
  <sheetViews>
    <sheetView tabSelected="1" workbookViewId="0">
      <selection activeCell="J19" sqref="J19"/>
    </sheetView>
  </sheetViews>
  <sheetFormatPr defaultRowHeight="15" x14ac:dyDescent="0.25"/>
  <cols>
    <col min="1" max="1" width="12" customWidth="1"/>
    <col min="2" max="2" width="15" customWidth="1"/>
    <col min="3" max="4" width="10" customWidth="1"/>
    <col min="5" max="5" width="12" customWidth="1"/>
    <col min="6" max="6" width="15" customWidth="1"/>
    <col min="7" max="7" width="25" customWidth="1"/>
    <col min="8" max="8" width="18" customWidth="1"/>
    <col min="9" max="9" width="15" customWidth="1"/>
    <col min="10" max="10" width="20.7109375" bestFit="1" customWidth="1"/>
    <col min="11" max="11" width="9.85546875" customWidth="1"/>
    <col min="12" max="12" width="15.7109375" style="1" customWidth="1"/>
    <col min="13" max="13" width="15.7109375" bestFit="1" customWidth="1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2" t="s">
        <v>12</v>
      </c>
    </row>
    <row r="2" spans="1:14" x14ac:dyDescent="0.25">
      <c r="A2">
        <v>101</v>
      </c>
      <c r="B2" t="s">
        <v>13</v>
      </c>
      <c r="C2">
        <v>120</v>
      </c>
      <c r="D2">
        <v>150</v>
      </c>
      <c r="E2" t="s">
        <v>14</v>
      </c>
      <c r="F2" t="str">
        <f>IF(C2&gt;=D2,"yes","no")</f>
        <v>no</v>
      </c>
      <c r="G2" t="str">
        <f>IF(AND(E2="North",C2&gt;200),"Eligible","Not eligible")</f>
        <v>Not eligible</v>
      </c>
      <c r="H2">
        <f>IF(C2&gt;=200, 10%,IF(C2&gt;=150,7%,5%))</f>
        <v>0.05</v>
      </c>
      <c r="I2">
        <f>IF(C2&gt;=D2, 10%,5%)</f>
        <v>0.05</v>
      </c>
      <c r="J2" t="str">
        <f>IF(C2&gt;=200,"excellent",IF(C2&gt;=150,"Good","improvement needed"))</f>
        <v>improvement needed</v>
      </c>
      <c r="K2" t="str">
        <f>IF(C2&gt;200, "high", IF(C2&gt;100, "Medium", "low"))</f>
        <v>Medium</v>
      </c>
      <c r="L2" s="1">
        <f>IF(AND(E2="north",C2&gt;=150),500,300)</f>
        <v>300</v>
      </c>
      <c r="M2" t="str">
        <f>IF(C2&gt;=PERCENTILE($C$2:$C$7, 0.75), "High Performer", "Standard")</f>
        <v>Standard</v>
      </c>
      <c r="N2" t="str">
        <f>IF(C2&gt;=PERCENTILE($C$2:$C$7, 0.75), "yes", "no")</f>
        <v>no</v>
      </c>
    </row>
    <row r="3" spans="1:14" x14ac:dyDescent="0.25">
      <c r="A3">
        <v>102</v>
      </c>
      <c r="B3" t="s">
        <v>15</v>
      </c>
      <c r="C3">
        <v>150</v>
      </c>
      <c r="D3">
        <v>140</v>
      </c>
      <c r="E3" t="s">
        <v>16</v>
      </c>
      <c r="F3" t="str">
        <f>IF(C3&gt;=D3,"yes","no")</f>
        <v>yes</v>
      </c>
      <c r="G3" t="str">
        <f t="shared" ref="G3:G7" si="0">IF(AND(E3="North",C3&gt;200),"Eligible","Not eligible")</f>
        <v>Not eligible</v>
      </c>
      <c r="H3">
        <f t="shared" ref="H3:H7" si="1">IF(C3&gt;=200, 10%,IF(C3&gt;=150,7%,5%))</f>
        <v>7.0000000000000007E-2</v>
      </c>
      <c r="I3">
        <f t="shared" ref="I3:I7" si="2">IF(C3&gt;=D3, 10%,5%)</f>
        <v>0.1</v>
      </c>
      <c r="J3" t="str">
        <f t="shared" ref="J3:J7" si="3">IF(C3&gt;=200,"excellent",IF(C3&gt;=150,"Good","improvement needed"))</f>
        <v>Good</v>
      </c>
      <c r="K3" t="str">
        <f t="shared" ref="K3:K7" si="4">IF(C3&gt;200, "high", IF(C3&gt;100, "Medium", "low"))</f>
        <v>Medium</v>
      </c>
      <c r="L3" s="1">
        <f t="shared" ref="L3:L7" si="5">IF(AND(E3="north",C3&gt;=150),500,300)</f>
        <v>300</v>
      </c>
      <c r="M3" t="str">
        <f t="shared" ref="M3:M7" si="6">IF(C3&gt;=PERCENTILE($C$2:$C$7, 0.75), "High Performer", "Standard")</f>
        <v>Standard</v>
      </c>
      <c r="N3" t="str">
        <f t="shared" ref="N3:N7" si="7">IF(C3&gt;=PERCENTILE($C$2:$C$7, 0.75), "yes", "no")</f>
        <v>no</v>
      </c>
    </row>
    <row r="4" spans="1:14" x14ac:dyDescent="0.25">
      <c r="A4">
        <v>103</v>
      </c>
      <c r="B4" t="s">
        <v>17</v>
      </c>
      <c r="C4">
        <v>200</v>
      </c>
      <c r="D4">
        <v>200</v>
      </c>
      <c r="E4" t="s">
        <v>18</v>
      </c>
      <c r="F4" t="str">
        <f t="shared" ref="F4:F7" si="8">IF(C4&gt;=D4,"yes","no")</f>
        <v>yes</v>
      </c>
      <c r="G4" t="str">
        <f t="shared" si="0"/>
        <v>Not eligible</v>
      </c>
      <c r="H4">
        <f t="shared" si="1"/>
        <v>0.1</v>
      </c>
      <c r="I4">
        <f t="shared" si="2"/>
        <v>0.1</v>
      </c>
      <c r="J4" t="str">
        <f t="shared" si="3"/>
        <v>excellent</v>
      </c>
      <c r="K4" t="str">
        <f t="shared" si="4"/>
        <v>Medium</v>
      </c>
      <c r="L4" s="1">
        <f t="shared" si="5"/>
        <v>300</v>
      </c>
      <c r="M4" t="str">
        <f t="shared" si="6"/>
        <v>High Performer</v>
      </c>
      <c r="N4" t="str">
        <f t="shared" si="7"/>
        <v>yes</v>
      </c>
    </row>
    <row r="5" spans="1:14" x14ac:dyDescent="0.25">
      <c r="A5">
        <v>104</v>
      </c>
      <c r="B5" t="s">
        <v>19</v>
      </c>
      <c r="C5">
        <v>90</v>
      </c>
      <c r="D5">
        <v>100</v>
      </c>
      <c r="E5" t="s">
        <v>20</v>
      </c>
      <c r="F5" t="str">
        <f t="shared" si="8"/>
        <v>no</v>
      </c>
      <c r="G5" t="str">
        <f t="shared" si="0"/>
        <v>Not eligible</v>
      </c>
      <c r="H5">
        <f t="shared" si="1"/>
        <v>0.05</v>
      </c>
      <c r="I5">
        <f t="shared" si="2"/>
        <v>0.05</v>
      </c>
      <c r="J5" t="str">
        <f t="shared" si="3"/>
        <v>improvement needed</v>
      </c>
      <c r="K5" t="str">
        <f t="shared" si="4"/>
        <v>low</v>
      </c>
      <c r="L5" s="1">
        <f t="shared" si="5"/>
        <v>300</v>
      </c>
      <c r="M5" t="str">
        <f t="shared" si="6"/>
        <v>Standard</v>
      </c>
      <c r="N5" t="str">
        <f t="shared" si="7"/>
        <v>no</v>
      </c>
    </row>
    <row r="6" spans="1:14" x14ac:dyDescent="0.25">
      <c r="A6">
        <v>105</v>
      </c>
      <c r="B6" t="s">
        <v>21</v>
      </c>
      <c r="C6">
        <v>220</v>
      </c>
      <c r="D6">
        <v>210</v>
      </c>
      <c r="E6" t="s">
        <v>14</v>
      </c>
      <c r="F6" t="str">
        <f t="shared" si="8"/>
        <v>yes</v>
      </c>
      <c r="G6" t="str">
        <f t="shared" si="0"/>
        <v>Eligible</v>
      </c>
      <c r="H6">
        <f t="shared" si="1"/>
        <v>0.1</v>
      </c>
      <c r="I6">
        <f t="shared" si="2"/>
        <v>0.1</v>
      </c>
      <c r="J6" t="str">
        <f t="shared" si="3"/>
        <v>excellent</v>
      </c>
      <c r="K6" t="str">
        <f t="shared" si="4"/>
        <v>high</v>
      </c>
      <c r="L6" s="1">
        <f t="shared" si="5"/>
        <v>500</v>
      </c>
      <c r="M6" t="str">
        <f t="shared" si="6"/>
        <v>High Performer</v>
      </c>
      <c r="N6" t="str">
        <f t="shared" si="7"/>
        <v>yes</v>
      </c>
    </row>
    <row r="7" spans="1:14" x14ac:dyDescent="0.25">
      <c r="A7">
        <v>106</v>
      </c>
      <c r="B7" t="s">
        <v>22</v>
      </c>
      <c r="C7">
        <v>130</v>
      </c>
      <c r="D7">
        <v>160</v>
      </c>
      <c r="E7" t="s">
        <v>16</v>
      </c>
      <c r="F7" t="str">
        <f t="shared" si="8"/>
        <v>no</v>
      </c>
      <c r="G7" t="str">
        <f t="shared" si="0"/>
        <v>Not eligible</v>
      </c>
      <c r="H7">
        <f t="shared" si="1"/>
        <v>0.05</v>
      </c>
      <c r="I7">
        <f t="shared" si="2"/>
        <v>0.05</v>
      </c>
      <c r="J7" t="str">
        <f t="shared" si="3"/>
        <v>improvement needed</v>
      </c>
      <c r="K7" t="str">
        <f t="shared" si="4"/>
        <v>Medium</v>
      </c>
      <c r="L7" s="1">
        <f t="shared" si="5"/>
        <v>300</v>
      </c>
      <c r="M7" t="str">
        <f t="shared" si="6"/>
        <v>Standard</v>
      </c>
      <c r="N7" t="str">
        <f t="shared" si="7"/>
        <v>no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2026-05-20T11:39:18Z</dcterms:created>
  <dcterms:modified xsi:type="dcterms:W3CDTF">2026-05-21T07:18:46Z</dcterms:modified>
</cp:coreProperties>
</file>