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5970" activeTab="5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C21" i="6"/>
  <c r="C15" i="6"/>
  <c r="C17" i="6"/>
  <c r="C16" i="6"/>
  <c r="C8" i="6"/>
  <c r="C19" i="6"/>
  <c r="C18" i="6"/>
  <c r="C10" i="6"/>
  <c r="C14" i="6"/>
  <c r="C13" i="6"/>
  <c r="C12" i="6"/>
  <c r="C11" i="6"/>
  <c r="C9" i="6"/>
  <c r="C7" i="6"/>
  <c r="C6" i="6"/>
  <c r="C4" i="6"/>
  <c r="C5" i="6"/>
  <c r="C3" i="6"/>
  <c r="C2" i="6"/>
</calcChain>
</file>

<file path=xl/sharedStrings.xml><?xml version="1.0" encoding="utf-8"?>
<sst xmlns="http://schemas.openxmlformats.org/spreadsheetml/2006/main" count="299" uniqueCount="104">
  <si>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</si>
  <si>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</si>
  <si>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</si>
  <si>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</si>
  <si>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</si>
  <si>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</si>
  <si>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</si>
  <si>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</si>
  <si>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</si>
  <si>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</si>
  <si>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</si>
  <si>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</si>
  <si>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</si>
  <si>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</si>
  <si>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</si>
  <si>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</si>
  <si>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</si>
  <si>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</si>
  <si>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</si>
  <si>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</si>
  <si>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</si>
  <si>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</si>
  <si>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</si>
  <si>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</si>
  <si>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</si>
  <si>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</si>
  <si>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</si>
  <si>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</si>
  <si>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</si>
  <si>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</si>
  <si>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</si>
  <si>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</si>
  <si>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</si>
  <si>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</si>
  <si>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</si>
  <si>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</si>
  <si>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</si>
  <si>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</si>
  <si>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</si>
  <si>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</si>
  <si>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</si>
  <si>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</si>
  <si>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</si>
  <si>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</si>
  <si>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</si>
  <si>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</si>
  <si>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</si>
  <si>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</si>
  <si>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</si>
  <si>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</si>
  <si>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</si>
  <si>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</si>
  <si>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</si>
  <si>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</si>
  <si>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</si>
  <si>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</si>
  <si>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</si>
  <si>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</si>
  <si>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</si>
  <si>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</si>
  <si>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</si>
  <si>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Questions</t>
  </si>
  <si>
    <t>formula</t>
  </si>
  <si>
    <t>formula_text</t>
  </si>
  <si>
    <t>VLOOKUP(10,Students!A2:E51,3,0)</t>
  </si>
  <si>
    <t xml:space="preserve"> 1.Find the Age of the student with ID = 10. </t>
  </si>
  <si>
    <t xml:space="preserve">2.Find the Marks of the student with ID = 25. </t>
  </si>
  <si>
    <t>3.Find the City of the student with ID = 40.</t>
  </si>
  <si>
    <t>VLOOKUP(25,Students!A2:E51,4,0)</t>
  </si>
  <si>
    <t>4. Find the Name of the student with ID = 7.</t>
  </si>
  <si>
    <t>VLOOKUP(7,Students!A2:E51,2,0)</t>
  </si>
  <si>
    <t xml:space="preserve">5. Find the Marks of the student named Rohit Sharma. </t>
  </si>
  <si>
    <t>VLOOKUP(40,Students!A2:E51,5,0)</t>
  </si>
  <si>
    <t xml:space="preserve">6. Find the Age of the student named Anjali Gupta. </t>
  </si>
  <si>
    <t>7. Find the City of the student named Neha Singh.</t>
  </si>
  <si>
    <t>8. Using ID_Marks sheet, fetch the marks of ID = 18.</t>
  </si>
  <si>
    <t>VLOOKUP("Rohit Sharma",Students!B2:E51,3,FALSE)</t>
  </si>
  <si>
    <t xml:space="preserve">9. Using ID_City sheet, find the city of ID = 12. </t>
  </si>
  <si>
    <t>10. From ID_Name sheet, find the student name with ID = 30.</t>
  </si>
  <si>
    <t xml:space="preserve">11. From Students sheet, return the city of ID = 5. </t>
  </si>
  <si>
    <t>does not have anyone</t>
  </si>
  <si>
    <t>VLOOKUP(18,ID_Marks!A2:B51, 2, FALSE)</t>
  </si>
  <si>
    <t>VLOOKUP(12,ID_Marks!A2:B51, 2, FALSE)</t>
  </si>
  <si>
    <t>VLOOKUP(30,ID_Name!A2:C51, 2, FALSE)</t>
  </si>
  <si>
    <t>VLOOKUP(5,Students!A2:E51, 5, FALSE)</t>
  </si>
  <si>
    <t>12. Return the marks of student whose ID = 33.</t>
  </si>
  <si>
    <t xml:space="preserve">13. Find the Name of student whose ID = 49. </t>
  </si>
  <si>
    <t>14. Find the Marks of student who lives in Lucknow (first match).</t>
  </si>
  <si>
    <t>15. From Sample_20 sheet, fetch the Age of student with ID = 22.</t>
  </si>
  <si>
    <t>VLOOKUP(33,Students!A2:E51,4,0)</t>
  </si>
  <si>
    <t>VLOOKUP(49,Students!A2:E51,2,0)</t>
  </si>
  <si>
    <t>VLOOKUP(22,Sample_20!A2:E21,3)</t>
  </si>
  <si>
    <t xml:space="preserve">16. From Sample_20, find City of ID = 37. </t>
  </si>
  <si>
    <t xml:space="preserve">17. Find the Age of the student named Arjun Yadav. </t>
  </si>
  <si>
    <t xml:space="preserve">18. Return the City of the student named Pooja Verma. </t>
  </si>
  <si>
    <t>19. Using VLOOKUP, return Marks of ID = 15 from ID_Marks.</t>
  </si>
  <si>
    <t>20. Using VLOOKUP, return Name of ID = 28 from ID_Name.</t>
  </si>
  <si>
    <t>VLOOKUP(15,ID_Marks!A2:B51,2,0)</t>
  </si>
  <si>
    <t>VLOOKUP(28,ID_Marks!A2:B51,2,0)</t>
  </si>
  <si>
    <t>VLOOKUP(37,Sample_20!A2:E21,5,0)</t>
  </si>
  <si>
    <t>VLOOKUP("Arjun Yadav",Students!A2:E51,3,0)</t>
  </si>
  <si>
    <t>VLOOKUP("Pooja Verma", Students!A2:E51, 5, FALSE)</t>
  </si>
  <si>
    <t>VLOOKUP("neha singh",Students!B2:E51,5,FALSE)</t>
  </si>
  <si>
    <t>VLOOKUP("Lucknow",CHOOSE({1,2},Students!E2:E51,Students!D2:D51),2,FALSE)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</si>
</sst>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zoomScale="145" zoomScaleNormal="145" workbookViewId="0">
      <selection sqref="A1:E1"/>
    </sheetView>
  </sheetViews>
  <sheetFormatPr defaultRowHeight="15" x14ac:dyDescent="0.25"/>
  <cols>
    <col min="1" max="1" width="3" bestFit="1" customWidth="1"/>
    <col min="2" max="2" width="15.85546875" bestFit="1" customWidth="1"/>
    <col min="3" max="3" width="4.42578125" bestFit="1" customWidth="1"/>
    <col min="4" max="4" width="6.42578125" bestFit="1" customWidth="1"/>
    <col min="5" max="5" width="10.28515625" bestFit="1" customWidth="1"/>
    <col min="9" max="9" width="18.57031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sqref="A1:B1"/>
    </sheetView>
  </sheetViews>
  <sheetFormatPr defaultRowHeight="15" x14ac:dyDescent="0.25"/>
  <sheetData>
    <row r="1" spans="1:2" x14ac:dyDescent="0.25">
      <c r="A1" s="4" t="s">
        <v>0</v>
      </c>
      <c r="B1" s="4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sqref="A1:B1"/>
    </sheetView>
  </sheetViews>
  <sheetFormatPr defaultRowHeight="15" x14ac:dyDescent="0.25"/>
  <sheetData>
    <row r="1" spans="1:2" x14ac:dyDescent="0.25">
      <c r="A1" s="4" t="s">
        <v>0</v>
      </c>
      <c r="B1" s="4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sqref="A1:B1"/>
    </sheetView>
  </sheetViews>
  <sheetFormatPr defaultRowHeight="15" x14ac:dyDescent="0.25"/>
  <sheetData>
    <row r="1" spans="1:2" x14ac:dyDescent="0.25">
      <c r="A1" s="4" t="s">
        <v>0</v>
      </c>
      <c r="B1" s="4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RowHeight="15" x14ac:dyDescent="0.25"/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zoomScaleNormal="100" workbookViewId="0">
      <selection activeCell="E18" sqref="E18"/>
    </sheetView>
  </sheetViews>
  <sheetFormatPr defaultRowHeight="15" x14ac:dyDescent="0.25"/>
  <cols>
    <col min="1" max="1" width="59.28515625" bestFit="1" customWidth="1"/>
    <col min="2" max="2" width="73.140625" bestFit="1" customWidth="1"/>
    <col min="3" max="3" width="13.7109375" bestFit="1" customWidth="1"/>
    <col min="4" max="4" width="7" bestFit="1" customWidth="1"/>
  </cols>
  <sheetData>
    <row r="1" spans="1:3" x14ac:dyDescent="0.25">
      <c r="A1" s="2" t="s">
        <v>61</v>
      </c>
      <c r="B1" s="2" t="s">
        <v>63</v>
      </c>
      <c r="C1" s="2" t="s">
        <v>62</v>
      </c>
    </row>
    <row r="2" spans="1:3" x14ac:dyDescent="0.25">
      <c r="A2" t="s">
        <v>65</v>
      </c>
      <c r="B2" t="s">
        <v>64</v>
      </c>
      <c r="C2">
        <f>VLOOKUP(10,Students!A2:E51,3,0)</f>
        <v>30</v>
      </c>
    </row>
    <row r="3" spans="1:3" x14ac:dyDescent="0.25">
      <c r="A3" t="s">
        <v>66</v>
      </c>
      <c r="B3" t="s">
        <v>68</v>
      </c>
      <c r="C3">
        <f>VLOOKUP(25,Students!A2:E51,4,0)</f>
        <v>54</v>
      </c>
    </row>
    <row r="4" spans="1:3" x14ac:dyDescent="0.25">
      <c r="A4" t="s">
        <v>67</v>
      </c>
      <c r="B4" t="s">
        <v>72</v>
      </c>
      <c r="C4" t="str">
        <f>VLOOKUP(40,Students!A2:E51,5,0)</f>
        <v>Agra</v>
      </c>
    </row>
    <row r="5" spans="1:3" x14ac:dyDescent="0.25">
      <c r="A5" t="s">
        <v>69</v>
      </c>
      <c r="B5" t="s">
        <v>70</v>
      </c>
      <c r="C5" t="str">
        <f>VLOOKUP(7,Students!A2:E51,2,0)</f>
        <v>Suresh Yadav</v>
      </c>
    </row>
    <row r="6" spans="1:3" x14ac:dyDescent="0.25">
      <c r="A6" t="s">
        <v>71</v>
      </c>
      <c r="B6" t="s">
        <v>76</v>
      </c>
      <c r="C6">
        <f>VLOOKUP("Rohit Sharma",Students!B2:E51,3,FALSE)</f>
        <v>52</v>
      </c>
    </row>
    <row r="7" spans="1:3" x14ac:dyDescent="0.25">
      <c r="A7" t="s">
        <v>73</v>
      </c>
      <c r="B7" s="1" t="s">
        <v>80</v>
      </c>
      <c r="C7" t="e">
        <f>VLOOKUP("Anjali Gupta",Students!B2:C51,2,FALSE)</f>
        <v>#N/A</v>
      </c>
    </row>
    <row r="8" spans="1:3" x14ac:dyDescent="0.25">
      <c r="A8" t="s">
        <v>74</v>
      </c>
      <c r="B8" t="s">
        <v>102</v>
      </c>
      <c r="C8" t="e">
        <f>VLOOKUP("neha singh",Students!B2:E51,5,FALSE)</f>
        <v>#N/A</v>
      </c>
    </row>
    <row r="9" spans="1:3" x14ac:dyDescent="0.25">
      <c r="A9" t="s">
        <v>75</v>
      </c>
      <c r="B9" t="s">
        <v>81</v>
      </c>
      <c r="C9">
        <f>VLOOKUP(18,ID_Marks!A2:B51, 2, FALSE)</f>
        <v>85</v>
      </c>
    </row>
    <row r="10" spans="1:3" x14ac:dyDescent="0.25">
      <c r="A10" t="s">
        <v>77</v>
      </c>
      <c r="B10" t="s">
        <v>82</v>
      </c>
      <c r="C10" t="str">
        <f>VLOOKUP(12,ID_City!A2:B51, 2, FALSE)</f>
        <v>Patna</v>
      </c>
    </row>
    <row r="11" spans="1:3" x14ac:dyDescent="0.25">
      <c r="A11" t="s">
        <v>78</v>
      </c>
      <c r="B11" t="s">
        <v>83</v>
      </c>
      <c r="C11" t="str">
        <f>VLOOKUP(30,ID_Name!A2:C51, 2, FALSE)</f>
        <v>Komal Sharma</v>
      </c>
    </row>
    <row r="12" spans="1:3" x14ac:dyDescent="0.25">
      <c r="A12" t="s">
        <v>79</v>
      </c>
      <c r="B12" t="s">
        <v>84</v>
      </c>
      <c r="C12" t="str">
        <f>VLOOKUP(5,Students!A2:E51, 5, FALSE)</f>
        <v>Lucknow</v>
      </c>
    </row>
    <row r="13" spans="1:3" x14ac:dyDescent="0.25">
      <c r="A13" t="s">
        <v>85</v>
      </c>
      <c r="B13" t="s">
        <v>89</v>
      </c>
      <c r="C13">
        <f>VLOOKUP(33,Students!A2:E51,4,0)</f>
        <v>82</v>
      </c>
    </row>
    <row r="14" spans="1:3" x14ac:dyDescent="0.25">
      <c r="A14" t="s">
        <v>86</v>
      </c>
      <c r="B14" t="s">
        <v>90</v>
      </c>
      <c r="C14" t="str">
        <f>VLOOKUP(49,Students!A2:E51,2,0)</f>
        <v>Vivaan Jha</v>
      </c>
    </row>
    <row r="15" spans="1:3" x14ac:dyDescent="0.25">
      <c r="A15" t="s">
        <v>87</v>
      </c>
      <c r="B15" s="3" t="s">
        <v>103</v>
      </c>
      <c r="C15">
        <f>VLOOKUP("Lucknow",CHOOSE({1,2},Students!E2:E51,Students!D2:D51),2,FALSE)</f>
        <v>62</v>
      </c>
    </row>
    <row r="16" spans="1:3" x14ac:dyDescent="0.25">
      <c r="A16" t="s">
        <v>88</v>
      </c>
      <c r="B16" t="s">
        <v>91</v>
      </c>
      <c r="C16">
        <f>VLOOKUP(22,Sample_20!A2:E21,3)</f>
        <v>25</v>
      </c>
    </row>
    <row r="17" spans="1:3" x14ac:dyDescent="0.25">
      <c r="A17" t="s">
        <v>92</v>
      </c>
      <c r="B17" t="s">
        <v>99</v>
      </c>
      <c r="C17" t="e">
        <f>VLOOKUP(37,Sample_20!A2:E21,5,0)</f>
        <v>#N/A</v>
      </c>
    </row>
    <row r="18" spans="1:3" x14ac:dyDescent="0.25">
      <c r="A18" t="s">
        <v>93</v>
      </c>
      <c r="B18" t="s">
        <v>100</v>
      </c>
      <c r="C18" t="e">
        <f>VLOOKUP("Arjun Yadav",Students!A2:E51,3,0)</f>
        <v>#N/A</v>
      </c>
    </row>
    <row r="19" spans="1:3" x14ac:dyDescent="0.25">
      <c r="A19" t="s">
        <v>94</v>
      </c>
      <c r="B19" t="s">
        <v>101</v>
      </c>
      <c r="C19" t="e">
        <f>VLOOKUP("Pooja Verma", Students!A2:E51, 5, FALSE)</f>
        <v>#N/A</v>
      </c>
    </row>
    <row r="20" spans="1:3" x14ac:dyDescent="0.25">
      <c r="A20" t="s">
        <v>95</v>
      </c>
      <c r="B20" t="s">
        <v>97</v>
      </c>
      <c r="C20">
        <f>VLOOKUP(15,ID_Marks!A2:B51,2,0)</f>
        <v>51</v>
      </c>
    </row>
    <row r="21" spans="1:3" x14ac:dyDescent="0.25">
      <c r="A21" t="s">
        <v>96</v>
      </c>
      <c r="B21" t="s">
        <v>98</v>
      </c>
      <c r="C21" t="str">
        <f>VLOOKUP(28,ID_Name!A2:C51,2,0)</f>
        <v>Harsh Gupta</v>
      </c>
    </row>
  </sheetData>
  <conditionalFormatting sqref="A2:C21">
    <cfRule type="cellIs" dxfId="3" priority="4" operator="equal">
      <formula>#N/A</formula>
    </cfRule>
    <cfRule type="cellIs" dxfId="4" priority="3" operator="equal">
      <formula>#N/A</formula>
    </cfRule>
    <cfRule type="expression" priority="2">
      <formula>$C1048559="#N/A"</formula>
    </cfRule>
    <cfRule type="expression" dxfId="2" priority="1">
      <formula>ISNA($C2)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2025-09-29T08:00:59Z</dcterms:created>
  <dcterms:modified xsi:type="dcterms:W3CDTF">2026-05-18T08:29:55Z</dcterms:modified>
</cp:coreProperties>
</file>