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ehn\Downloads\"/>
    </mc:Choice>
  </mc:AlternateContent>
  <xr:revisionPtr revIDLastSave="0" documentId="13_ncr:1_{B1354BC2-38E2-4384-B87B-5F24659E8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K15" i="1"/>
  <c r="K14" i="1"/>
  <c r="I16" i="1"/>
  <c r="K16" i="1"/>
  <c r="I15" i="1"/>
  <c r="L14" i="1"/>
  <c r="I14" i="1"/>
  <c r="O13" i="1"/>
  <c r="N13" i="1"/>
  <c r="M13" i="1"/>
  <c r="L13" i="1"/>
  <c r="K13" i="1"/>
  <c r="I13" i="1"/>
  <c r="I12" i="1"/>
  <c r="K12" i="1"/>
  <c r="K11" i="1"/>
  <c r="I11" i="1"/>
  <c r="I10" i="1"/>
  <c r="K10" i="1"/>
</calcChain>
</file>

<file path=xl/sharedStrings.xml><?xml version="1.0" encoding="utf-8"?>
<sst xmlns="http://schemas.openxmlformats.org/spreadsheetml/2006/main" count="50" uniqueCount="45">
  <si>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</si>
  <si>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</si>
  <si>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</si>
  <si>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</si>
  <si>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</si>
  <si>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</si>
  <si>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</si>
  <si>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</si>
  <si>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</si>
  <si>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</si>
  <si>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</si>
  <si>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</si>
  <si>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</si>
  <si>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</si>
  <si>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</si>
  <si>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</si>
  <si>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</si>
  <si>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</si>
  <si>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</si>
  <si>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</si>
  <si>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</si>
  <si>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</si>
  <si>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</si>
  <si>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</si>
  <si>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</si>
  <si>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Question</t>
  </si>
  <si>
    <t>MATCH("prodc",B2:B7,0)</t>
  </si>
  <si>
    <t>Results</t>
  </si>
  <si>
    <t>INDEX(D2:H7,MATCH("prodc",B2:B7,0),MATCH("mar sales",D1:H1,0))</t>
  </si>
  <si>
    <t>Value /with index</t>
  </si>
  <si>
    <t>FORMULA / index + match</t>
  </si>
  <si>
    <t>INDEX(C2:C7,MATCH("PRODE",B2:B7,0))</t>
  </si>
  <si>
    <t>MATCH("prode",B2:B7,0)</t>
  </si>
  <si>
    <t>MATCH("prodb",B2:B7,0)</t>
  </si>
  <si>
    <t>MAX(INDEX(D2:H7, MATCH("PRODB", B2:B7, 0), 0))</t>
  </si>
  <si>
    <t>MATCH(MAX(D2:H2), D2:H2, 0)</t>
  </si>
  <si>
    <t>INDEX(D1:H1,MATCH(MAX(INDEX(D2:H7,MATCH("PRODA",B2:B7,0),0)),INDEX(D2:H7,MATCH("PRODA",B2:B7,0),0),0))</t>
  </si>
  <si>
    <t>SUMIF(C2:C7,"electronics",INDEX(D2:H7,0,MATCH("apr sales",D1:H1,0)))</t>
  </si>
  <si>
    <t>AVERAGE(INDEX(D2:H7,MATCH("prodd",B2:B7,0),0))</t>
  </si>
  <si>
    <t>INDEX(H2:H7, MATCH(105, A2:A7, 0))</t>
  </si>
  <si>
    <t>INDEX(D2:H7, MATCH(105, A2:A7, 0), MATCH("May Sales", D1:H1, 0))</t>
  </si>
  <si>
    <t>MATCH("apr sales",D1:H1,0)</t>
  </si>
  <si>
    <t>MATCH("prodd",B2:B7,0)</t>
  </si>
  <si>
    <t>INDEX(D2:H7, MATCH(L2, B2:B7, 0), MATCH(M2, D1:H1, 0))</t>
  </si>
  <si>
    <t xml:space="preserve">Dynamic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</si>
</sst>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475129</xdr:colOff>
      <xdr:row>19</xdr:row>
      <xdr:rowOff>125506</xdr:rowOff>
    </xdr:from>
    <xdr:ext cx="6624918" cy="17481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F0648D-A5AF-3089-C852-C3C5DE4A9B7B}"/>
            </a:ext>
          </a:extLst>
        </xdr:cNvPr>
        <xdr:cNvSpPr txBox="1"/>
      </xdr:nvSpPr>
      <xdr:spPr>
        <a:xfrm>
          <a:off x="4742329" y="3738282"/>
          <a:ext cx="6624918" cy="1748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735106</xdr:colOff>
      <xdr:row>19</xdr:row>
      <xdr:rowOff>152400</xdr:rowOff>
    </xdr:from>
    <xdr:ext cx="12009344" cy="84582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CB7421-3463-280A-6E6C-B2D6BC2DDC9A}"/>
            </a:ext>
          </a:extLst>
        </xdr:cNvPr>
        <xdr:cNvSpPr txBox="1"/>
      </xdr:nvSpPr>
      <xdr:spPr>
        <a:xfrm>
          <a:off x="735106" y="3962400"/>
          <a:ext cx="12009344" cy="8458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/>
            <a:t>match :- Returns the numeric position (row number) of a specific value in a list or column.</a:t>
          </a:r>
        </a:p>
        <a:p>
          <a:r>
            <a:rPr lang="en-IN"/>
            <a:t>index :- Returns the actual value of a cell at a given row and column number.</a:t>
          </a:r>
        </a:p>
        <a:p>
          <a:r>
            <a:rPr lang="en-IN"/>
            <a:t>Syntax :- INDEX(return_range, MATCH(lookup_value, lookup_range, 0))</a:t>
          </a:r>
        </a:p>
        <a:p>
          <a:r>
            <a:rPr lang="en-IN" sz="1100" b="1"/>
            <a:t> faster :- index and match when data is large ( when small then vlookup )</a:t>
          </a:r>
        </a:p>
        <a:p>
          <a:r>
            <a:rPr lang="en-IN" sz="1100" b="1"/>
            <a:t>column numbering fix in vlookup </a:t>
          </a:r>
        </a:p>
        <a:p>
          <a:endParaRPr lang="en-IN" sz="1100" b="1"/>
        </a:p>
        <a:p>
          <a:r>
            <a:rPr lang="en-IN" sz="1100" b="1"/>
            <a:t>1. Use INDEX and MATCH to find the sales for Product C in March.   </a:t>
          </a:r>
        </a:p>
        <a:p>
          <a:r>
            <a:rPr lang="en-IN" sz="1100"/>
            <a:t>=&gt; with match :- used to specify the column number as </a:t>
          </a:r>
          <a:r>
            <a:rPr lang="en-IN" sz="1100" b="1">
              <a:solidFill>
                <a:srgbClr val="FF0000"/>
              </a:solidFill>
            </a:rPr>
            <a:t>MATCH("prodc",B2:B7,0) </a:t>
          </a:r>
        </a:p>
        <a:p>
          <a:r>
            <a:rPr lang="en-IN" sz="1100"/>
            <a:t>      with index :- to find exact</a:t>
          </a:r>
          <a:r>
            <a:rPr lang="en-IN" sz="1100" baseline="0"/>
            <a:t> value as </a:t>
          </a:r>
          <a:r>
            <a:rPr lang="en-IN" sz="1100" b="1" baseline="0">
              <a:solidFill>
                <a:srgbClr val="FF0000"/>
              </a:solidFill>
            </a:rPr>
            <a:t>INDEX(D2:H7,MATCH("prodc",B2:B7,0),MATCH("mar sales",D1:H1,0))</a:t>
          </a:r>
        </a:p>
        <a:p>
          <a:r>
            <a:rPr lang="en-IN" sz="1100" b="1" baseline="0">
              <a:solidFill>
                <a:srgbClr val="FF0000"/>
              </a:solidFill>
            </a:rPr>
            <a:t>      </a:t>
          </a:r>
          <a:r>
            <a:rPr lang="en-IN" sz="1100" b="0" baseline="0">
              <a:solidFill>
                <a:sysClr val="windowText" lastClr="000000"/>
              </a:solidFill>
            </a:rPr>
            <a:t>with selecting only tbhe mar column </a:t>
          </a:r>
          <a:r>
            <a:rPr lang="en-IN" sz="1100" b="1" baseline="0">
              <a:solidFill>
                <a:srgbClr val="FF0000"/>
              </a:solidFill>
            </a:rPr>
            <a:t>=INDEX(F2:F7,MATCH("PRODC",B2:B7,0))</a:t>
          </a:r>
        </a:p>
        <a:p>
          <a:endParaRPr lang="en-IN" sz="1100" b="1">
            <a:solidFill>
              <a:srgbClr val="FF0000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2. Use INDEX and MATCH to find the category for Product E</a:t>
          </a:r>
        </a:p>
        <a:p>
          <a:r>
            <a:rPr lang="en-IN" sz="1100" b="1">
              <a:solidFill>
                <a:schemeClr val="tx1"/>
              </a:solidFill>
            </a:rPr>
            <a:t>=&gt; </a:t>
          </a:r>
          <a:r>
            <a:rPr lang="en-IN" sz="1100" b="0">
              <a:solidFill>
                <a:schemeClr val="tx1"/>
              </a:solidFill>
            </a:rPr>
            <a:t>with match :- =MATCH("prode",B2:B7,0)</a:t>
          </a:r>
        </a:p>
        <a:p>
          <a:r>
            <a:rPr lang="en-IN" sz="1100" b="0">
              <a:solidFill>
                <a:schemeClr val="tx1"/>
              </a:solidFill>
            </a:rPr>
            <a:t>      with index :- </a:t>
          </a:r>
          <a:r>
            <a:rPr lang="en-IN"/>
            <a:t>INDEX(C2:C7, 5)</a:t>
          </a:r>
        </a:p>
        <a:p>
          <a:r>
            <a:rPr lang="en-IN" sz="1100" b="1">
              <a:solidFill>
                <a:schemeClr val="tx1"/>
              </a:solidFill>
            </a:rPr>
            <a:t>      with both index + match  :- INDEX(C2:C7,MATCH("PRODE",B2:B7,0))</a:t>
          </a: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3. Use INDEX and MATCH to find the maximum sales for Product B across all months.</a:t>
          </a:r>
        </a:p>
        <a:p>
          <a:r>
            <a:rPr lang="en-IN" sz="1100" b="1">
              <a:solidFill>
                <a:schemeClr val="tx1"/>
              </a:solidFill>
            </a:rPr>
            <a:t>=&gt; </a:t>
          </a:r>
          <a:r>
            <a:rPr lang="en-IN" sz="1100" b="1">
              <a:solidFill>
                <a:srgbClr val="FF0000"/>
              </a:solidFill>
            </a:rPr>
            <a:t>=MAX(INDEX(D2:H7, MATCH("PRODB", B2:B7, 0), 0))</a:t>
          </a: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  4. Use INDEX and MATCH to find the month with the maximum sales for Product A. </a:t>
          </a: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first row all value</a:t>
          </a:r>
          <a:r>
            <a:rPr lang="en-IN" sz="1100" b="1" baseline="0">
              <a:solidFill>
                <a:schemeClr val="tx1"/>
              </a:solidFill>
            </a:rPr>
            <a:t> of product A</a:t>
          </a:r>
          <a:r>
            <a:rPr lang="en-IN" sz="1100" b="1">
              <a:solidFill>
                <a:schemeClr val="tx1"/>
              </a:solidFill>
            </a:rPr>
            <a:t> :- </a:t>
          </a:r>
          <a:r>
            <a:rPr lang="en-I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INDEX(D2:H7,MATCH("PRODA",B2:B7,0),0)</a:t>
          </a:r>
        </a:p>
        <a:p>
          <a:endParaRPr lang="en-IN" sz="1100" b="1">
            <a:solidFill>
              <a:srgbClr val="FF0000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then only max value :- </a:t>
          </a:r>
          <a:r>
            <a:rPr lang="en-I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=MAX(INDEX(D2:H7,MATCH("PRODA",B2:B7,0),0))</a:t>
          </a:r>
        </a:p>
        <a:p>
          <a:endParaRPr lang="en-IN" sz="11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position of max :- </a:t>
          </a:r>
          <a:r>
            <a:rPr lang="en-I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=MATCH(160,{120,130,140,150,160},0)</a:t>
          </a:r>
        </a:p>
        <a:p>
          <a:endParaRPr lang="en-IN" sz="11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ysClr val="windowText" lastClr="000000"/>
              </a:solidFill>
            </a:rPr>
            <a:t>(header) column name :- </a:t>
          </a:r>
          <a:r>
            <a:rPr lang="en-IN" sz="1100" b="1">
              <a:solidFill>
                <a:srgbClr val="FF0000"/>
              </a:solidFill>
            </a:rPr>
            <a:t>=INDEX(D1:H1,5) </a:t>
          </a:r>
        </a:p>
        <a:p>
          <a:endParaRPr lang="en-IN" sz="1100" b="1">
            <a:solidFill>
              <a:srgbClr val="FF0000"/>
            </a:solidFill>
          </a:endParaRPr>
        </a:p>
        <a:p>
          <a:r>
            <a:rPr lang="en-IN" sz="1100" b="1">
              <a:solidFill>
                <a:sysClr val="windowText" lastClr="000000"/>
              </a:solidFill>
            </a:rPr>
            <a:t>return productA max value , position , header :- </a:t>
          </a:r>
          <a:r>
            <a:rPr lang="en-IN" sz="1100" b="1">
              <a:solidFill>
                <a:srgbClr val="FF0000"/>
              </a:solidFill>
            </a:rPr>
            <a:t>=INDEX(D1:H1,MATCH(MAX(INDEX(D2:H7,MATCH("PRODA",B2:B7,0),0)),INDEX(D2:H7,MATCH("PRODA",B2:B7,0),0),0)) </a:t>
          </a:r>
        </a:p>
        <a:p>
          <a:endParaRPr lang="en-IN" sz="1100" b="1">
            <a:solidFill>
              <a:srgbClr val="FF0000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5. Use INDEX, MATCH, and SUMIF to sum the sales for all products in the "Electronics" category for April.</a:t>
          </a:r>
        </a:p>
        <a:p>
          <a:r>
            <a:rPr lang="en-IN" sz="1100" b="1">
              <a:solidFill>
                <a:schemeClr val="tx1"/>
              </a:solidFill>
            </a:rPr>
            <a:t>=&gt;  sum sales of all electronic of april months</a:t>
          </a: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MATCH("apr sales",D1:H1,0)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 </a:t>
          </a:r>
        </a:p>
        <a:p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index :-   </a:t>
          </a:r>
          <a:r>
            <a:rPr lang="en-I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INDEX(D2:H7,0,MATCH("apr sales",D1:H1,0))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sumif :-    </a:t>
          </a:r>
          <a:r>
            <a:rPr lang="en-I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SUMIF(C2:C7,"electronics",INDEX(D2:H7,0,MATCH("apr sales",D1:H1,0)))</a:t>
          </a:r>
          <a:endParaRPr lang="en-IN" b="1">
            <a:solidFill>
              <a:srgbClr val="FF0000"/>
            </a:solidFill>
            <a:effectLst/>
          </a:endParaRPr>
        </a:p>
        <a:p>
          <a:endParaRPr lang="en-IN" sz="1100" b="1">
            <a:solidFill>
              <a:schemeClr val="tx1"/>
            </a:solidFill>
          </a:endParaRP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rgbClr val="FF0000"/>
              </a:solidFill>
            </a:rPr>
            <a:t>SUMIF(C2:C7,"electronics",INDEX(D2:H7,0,MATCH("apr sales",D1:H1,0)))</a:t>
          </a: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6. Use INDEX and MATCH to calculate the average sales for Product D across all months.</a:t>
          </a:r>
        </a:p>
        <a:p>
          <a:r>
            <a:rPr lang="en-IN" sz="1100" b="1">
              <a:solidFill>
                <a:schemeClr val="tx1"/>
              </a:solidFill>
            </a:rPr>
            <a:t>=&gt;</a:t>
          </a:r>
          <a:r>
            <a:rPr lang="en-IN" sz="1100" b="1">
              <a:solidFill>
                <a:srgbClr val="FF0000"/>
              </a:solidFill>
            </a:rPr>
            <a:t> AVERAGE(INDEX(D2:H7,MATCH("prodd",B2:B7,0),0))</a:t>
          </a:r>
        </a:p>
        <a:p>
          <a:endParaRPr lang="en-IN" sz="1100" b="1">
            <a:solidFill>
              <a:srgbClr val="FF0000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7. Use INDEX and MATCH to find the sales for Product ID 105 in May. </a:t>
          </a:r>
        </a:p>
        <a:p>
          <a:r>
            <a:rPr lang="en-IN" sz="1100" b="1">
              <a:solidFill>
                <a:schemeClr val="tx1"/>
              </a:solidFill>
            </a:rPr>
            <a:t>with index :- </a:t>
          </a:r>
          <a:r>
            <a:rPr lang="en-IN" sz="1100" b="1">
              <a:solidFill>
                <a:srgbClr val="FF0000"/>
              </a:solidFill>
            </a:rPr>
            <a:t>INDEX(H2:H7, MATCH(105, A2:A7, 0))</a:t>
          </a:r>
        </a:p>
        <a:p>
          <a:r>
            <a:rPr lang="en-IN" sz="1100" b="1">
              <a:solidFill>
                <a:schemeClr val="tx1"/>
              </a:solidFill>
            </a:rPr>
            <a:t>=&gt;</a:t>
          </a:r>
          <a:r>
            <a:rPr lang="en-IN" sz="1100" b="1" baseline="0">
              <a:solidFill>
                <a:schemeClr val="tx1"/>
              </a:solidFill>
            </a:rPr>
            <a:t>  </a:t>
          </a:r>
          <a:r>
            <a:rPr lang="en-IN" sz="1100" b="1" baseline="0">
              <a:solidFill>
                <a:srgbClr val="FF0000"/>
              </a:solidFill>
            </a:rPr>
            <a:t>=INDEX(D2:H7, MATCH(105, A2:A7, 0), MATCH("May Sales", D1:H1, 0))</a:t>
          </a:r>
        </a:p>
        <a:p>
          <a:endParaRPr lang="en-IN" sz="1100" b="1" baseline="0">
            <a:solidFill>
              <a:srgbClr val="FF0000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8. Use INDEX and MATCH to create a dynamic lookup where the user can input a product and a month, and the formula returns the corresponding sales.</a:t>
          </a: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=&gt; product C april months sales == 230</a:t>
          </a:r>
        </a:p>
        <a:p>
          <a:endParaRPr lang="en-IN" sz="1100" b="1">
            <a:solidFill>
              <a:schemeClr val="tx1"/>
            </a:solidFill>
          </a:endParaRPr>
        </a:p>
        <a:p>
          <a:endParaRPr lang="en-IN" sz="1100" b="1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A44" zoomScale="85" zoomScaleNormal="85" workbookViewId="0">
      <selection activeCell="X36" activeCellId="1" sqref="J27 X36"/>
    </sheetView>
  </sheetViews>
  <sheetFormatPr defaultRowHeight="14.4" x14ac:dyDescent="0.3"/>
  <cols>
    <col min="1" max="1" width="12.88671875" customWidth="1"/>
    <col min="2" max="2" width="11.21875" customWidth="1"/>
    <col min="3" max="3" width="12.33203125" customWidth="1"/>
    <col min="4" max="4" width="12.77734375" customWidth="1"/>
    <col min="5" max="5" width="13" customWidth="1"/>
    <col min="6" max="6" width="12.44140625" customWidth="1"/>
    <col min="7" max="7" width="12.6640625" customWidth="1"/>
    <col min="8" max="8" width="103" bestFit="1" customWidth="1"/>
    <col min="9" max="9" width="15.88671875" bestFit="1" customWidth="1"/>
    <col min="10" max="10" width="33.33203125" bestFit="1" customWidth="1"/>
    <col min="11" max="11" width="10" style="3" bestFit="1" customWidth="1"/>
    <col min="12" max="12" width="8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24</v>
      </c>
      <c r="I1" s="9"/>
      <c r="J1" s="9"/>
      <c r="K1"/>
      <c r="L1" s="14" t="s">
        <v>44</v>
      </c>
      <c r="M1" s="14"/>
    </row>
    <row r="2" spans="1:15" x14ac:dyDescent="0.3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I2" s="10"/>
      <c r="J2" s="10"/>
      <c r="K2"/>
      <c r="L2" s="13" t="s">
        <v>11</v>
      </c>
      <c r="M2" s="13" t="s">
        <v>6</v>
      </c>
    </row>
    <row r="3" spans="1:15" x14ac:dyDescent="0.3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I3" s="10"/>
      <c r="J3" s="10"/>
      <c r="K3"/>
    </row>
    <row r="4" spans="1:15" x14ac:dyDescent="0.3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I4" s="10"/>
      <c r="J4" s="10"/>
      <c r="K4"/>
    </row>
    <row r="5" spans="1:15" x14ac:dyDescent="0.3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I5" s="10"/>
      <c r="J5" s="10"/>
      <c r="K5"/>
    </row>
    <row r="6" spans="1:15" x14ac:dyDescent="0.3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I6" s="10"/>
      <c r="J6" s="10"/>
      <c r="K6"/>
    </row>
    <row r="7" spans="1:15" x14ac:dyDescent="0.3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  <c r="I7" s="10"/>
      <c r="J7" s="10"/>
      <c r="K7"/>
    </row>
    <row r="9" spans="1:15" x14ac:dyDescent="0.3">
      <c r="A9" s="17" t="s">
        <v>25</v>
      </c>
      <c r="B9" s="17"/>
      <c r="C9" s="17"/>
      <c r="D9" s="17"/>
      <c r="E9" s="17"/>
      <c r="F9" s="17"/>
      <c r="G9" s="17"/>
      <c r="H9" s="11" t="s">
        <v>30</v>
      </c>
      <c r="I9" s="11" t="s">
        <v>29</v>
      </c>
      <c r="J9" s="11"/>
      <c r="K9" s="5" t="s">
        <v>27</v>
      </c>
    </row>
    <row r="10" spans="1:15" x14ac:dyDescent="0.3">
      <c r="A10" s="15" t="s">
        <v>22</v>
      </c>
      <c r="B10" s="15"/>
      <c r="C10" s="15"/>
      <c r="D10" s="15"/>
      <c r="E10" s="15"/>
      <c r="F10" s="15"/>
      <c r="G10" s="15"/>
      <c r="H10" s="7" t="s">
        <v>28</v>
      </c>
      <c r="I10" s="7">
        <f>INDEX(D2:H7,MATCH("prodc",B2:B7,0),MATCH("mar sales",D1:H1,0))</f>
        <v>220</v>
      </c>
      <c r="J10" s="7" t="s">
        <v>26</v>
      </c>
      <c r="K10" s="6">
        <f>MATCH("prodc",B2:B7,0)</f>
        <v>3</v>
      </c>
    </row>
    <row r="11" spans="1:15" x14ac:dyDescent="0.3">
      <c r="A11" s="15" t="s">
        <v>16</v>
      </c>
      <c r="B11" s="15"/>
      <c r="C11" s="15"/>
      <c r="D11" s="15"/>
      <c r="E11" s="15"/>
      <c r="F11" s="15"/>
      <c r="G11" s="15"/>
      <c r="H11" s="12" t="s">
        <v>31</v>
      </c>
      <c r="I11" s="7" t="str">
        <f>INDEX(C2:C7,MATCH("PRODE",B2:B7,0))</f>
        <v>Furniture</v>
      </c>
      <c r="J11" s="7" t="s">
        <v>32</v>
      </c>
      <c r="K11" s="6">
        <f>MATCH("prode",B2:B7,0)</f>
        <v>5</v>
      </c>
    </row>
    <row r="12" spans="1:15" x14ac:dyDescent="0.3">
      <c r="A12" s="15" t="s">
        <v>17</v>
      </c>
      <c r="B12" s="15"/>
      <c r="C12" s="15"/>
      <c r="D12" s="15"/>
      <c r="E12" s="15"/>
      <c r="F12" s="15"/>
      <c r="G12" s="15"/>
      <c r="H12" s="7" t="s">
        <v>34</v>
      </c>
      <c r="I12" s="7">
        <f>MAX(INDEX(D2:H7, MATCH("PRODB", B2:B7, 0), 0))</f>
        <v>190</v>
      </c>
      <c r="J12" s="7" t="s">
        <v>33</v>
      </c>
      <c r="K12" s="6">
        <f>MATCH("prodb",B2:B7,0)</f>
        <v>2</v>
      </c>
    </row>
    <row r="13" spans="1:15" x14ac:dyDescent="0.3">
      <c r="A13" s="15" t="s">
        <v>18</v>
      </c>
      <c r="B13" s="15"/>
      <c r="C13" s="15"/>
      <c r="D13" s="15"/>
      <c r="E13" s="15"/>
      <c r="F13" s="15"/>
      <c r="G13" s="15"/>
      <c r="H13" s="7" t="s">
        <v>36</v>
      </c>
      <c r="I13" s="7" t="str">
        <f>INDEX(D1:H1, MATCH(MAX(INDEX(D2:H7, MATCH("PRODA", B2:B7, 0), 0)), INDEX(D2:H7, MATCH("PRODA", B2:B7, 0), 0), 0))</f>
        <v>May Sales</v>
      </c>
      <c r="J13" s="7" t="s">
        <v>35</v>
      </c>
      <c r="K13" s="6">
        <f>MATCH(MAX(D2:H2), D2:H2, 0)</f>
        <v>5</v>
      </c>
      <c r="L13">
        <f>MAX(INDEX(D2:H7,MATCH("PRODA",B2:B7,0),0))</f>
        <v>160</v>
      </c>
      <c r="M13">
        <f>MATCH(160,{120,130,140,150,160},0)</f>
        <v>5</v>
      </c>
      <c r="N13" t="str">
        <f>INDEX(D1:H1,5)</f>
        <v>May Sales</v>
      </c>
      <c r="O13" t="str">
        <f>INDEX(D1:H1,MATCH(MAX(INDEX(D2:H7,MATCH("PRODA",B2:B7,0),0)),INDEX(D2:H7,MATCH("PRODA",B2:B7,0),0),0))</f>
        <v>May Sales</v>
      </c>
    </row>
    <row r="14" spans="1:15" x14ac:dyDescent="0.3">
      <c r="A14" s="15" t="s">
        <v>19</v>
      </c>
      <c r="B14" s="15"/>
      <c r="C14" s="15"/>
      <c r="D14" s="15"/>
      <c r="E14" s="15"/>
      <c r="F14" s="15"/>
      <c r="G14" s="15"/>
      <c r="H14" s="7" t="s">
        <v>37</v>
      </c>
      <c r="I14" s="7">
        <f>SUMIF(C2:C7,"electronics",INDEX(D2:H7,0,MATCH("apr sales",D1:H1,0)))</f>
        <v>540</v>
      </c>
      <c r="J14" s="7" t="s">
        <v>41</v>
      </c>
      <c r="K14" s="6">
        <f>MATCH("apr sales",D1:H1,0)</f>
        <v>4</v>
      </c>
      <c r="L14">
        <f>MATCH("apr sales",D1:H1,0)</f>
        <v>4</v>
      </c>
    </row>
    <row r="15" spans="1:15" x14ac:dyDescent="0.3">
      <c r="A15" s="15" t="s">
        <v>20</v>
      </c>
      <c r="B15" s="15"/>
      <c r="C15" s="15"/>
      <c r="D15" s="15"/>
      <c r="E15" s="15"/>
      <c r="F15" s="15"/>
      <c r="G15" s="15"/>
      <c r="H15" s="7" t="s">
        <v>38</v>
      </c>
      <c r="I15" s="7">
        <f>AVERAGE(INDEX(D2:H7,MATCH("prodd",B2:B7,0),0))</f>
        <v>110</v>
      </c>
      <c r="J15" s="7" t="s">
        <v>42</v>
      </c>
      <c r="K15" s="6">
        <f>MATCH("prodd",B2:B7,0)</f>
        <v>4</v>
      </c>
    </row>
    <row r="16" spans="1:15" x14ac:dyDescent="0.3">
      <c r="A16" s="15" t="s">
        <v>23</v>
      </c>
      <c r="B16" s="15"/>
      <c r="C16" s="15"/>
      <c r="D16" s="15"/>
      <c r="E16" s="15"/>
      <c r="F16" s="15"/>
      <c r="G16" s="15"/>
      <c r="H16" s="7" t="s">
        <v>40</v>
      </c>
      <c r="I16" s="7">
        <f>INDEX(D2:H7, MATCH(105, A2:A7, 0), MATCH("May Sales", D1:H1, 0))</f>
        <v>260</v>
      </c>
      <c r="J16" s="7" t="s">
        <v>39</v>
      </c>
      <c r="K16" s="6">
        <f>INDEX(H2:H7, MATCH(105, A2:A7, 0))</f>
        <v>260</v>
      </c>
    </row>
    <row r="17" spans="1:11" ht="31.05" customHeight="1" x14ac:dyDescent="0.3">
      <c r="A17" s="16" t="s">
        <v>21</v>
      </c>
      <c r="B17" s="16"/>
      <c r="C17" s="16"/>
      <c r="D17" s="16"/>
      <c r="E17" s="16"/>
      <c r="F17" s="16"/>
      <c r="G17" s="16"/>
      <c r="H17" s="8" t="s">
        <v>43</v>
      </c>
      <c r="I17" s="8">
        <f>INDEX(D2:H7, MATCH(L2, B2:B7, 0), MATCH(M2, D1:H1, 0))</f>
        <v>230</v>
      </c>
      <c r="J17" s="8"/>
      <c r="K17" s="6"/>
    </row>
  </sheetData>
  <mergeCells count="10">
    <mergeCell ref="L1:M1"/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Shehnaz Rangrez</cp:lastModifiedBy>
  <dcterms:created xsi:type="dcterms:W3CDTF">2026-05-19T10:30:42Z</dcterms:created>
  <dcterms:modified xsi:type="dcterms:W3CDTF">2026-05-20T08:12:24Z</dcterms:modified>
</cp:coreProperties>
</file>