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FUNCTION" sheetId="1" r:id="rId5"/>
    <sheet state="visible" name="ARRAY FUNCTION" sheetId="2" r:id="rId6"/>
    <sheet state="visible" name="ARRAYFORMULA(TEXT" sheetId="3" r:id="rId7"/>
    <sheet state="visible" name="MEAN_MEADIAN_MODE" sheetId="4" r:id="rId8"/>
  </sheets>
  <definedNames/>
  <calcPr/>
</workbook>
</file>

<file path=xl/sharedStrings.xml><?xml version="1.0" encoding="utf-8"?>
<sst xmlns="http://schemas.openxmlformats.org/spreadsheetml/2006/main" count="132" uniqueCount="98">
  <si>
    <t>A(PRODUCT)</t>
  </si>
  <si>
    <t>B(CITY)</t>
  </si>
  <si>
    <t>C(SALES)</t>
  </si>
  <si>
    <t>D(SELLING_PRICE)</t>
  </si>
  <si>
    <t>1ST =QUERY(A2:C4,"SELECT A,B WHERE C&gt;100")</t>
  </si>
  <si>
    <t>2ND ARRAY FUNCTION</t>
  </si>
  <si>
    <t>APPLE</t>
  </si>
  <si>
    <t>MUMBAI</t>
  </si>
  <si>
    <t>MANGO</t>
  </si>
  <si>
    <t>DELHI</t>
  </si>
  <si>
    <t>ORANGE</t>
  </si>
  <si>
    <t>PUNE</t>
  </si>
  <si>
    <r>
      <rPr>
        <rFont val="Arial"/>
        <color theme="1"/>
      </rPr>
      <t xml:space="preserve">1. RETURN PRODUCT AND CITY IF SALES &gt; 100 = &gt; QUERY(DATA, QUERY,HEADER) HEADER OPTIONAL =&gt; </t>
    </r>
    <r>
      <rPr>
        <rFont val="Arial"/>
        <color rgb="FFFF0000"/>
      </rPr>
      <t>=QUERY(A2:C4,"SELECT A,B WHERE C&gt;100")</t>
    </r>
  </si>
  <si>
    <t>2.USE ARRYFORMULA MULTIPLICATION =&gt; =QUERY(A2:C4,"SELECT A,B WHERE C&gt;100")</t>
  </si>
  <si>
    <t>TEXT</t>
  </si>
  <si>
    <t>A</t>
  </si>
  <si>
    <t>B</t>
  </si>
  <si>
    <t>MULTI(A*B)</t>
  </si>
  <si>
    <t>ADD</t>
  </si>
  <si>
    <t>SUB</t>
  </si>
  <si>
    <t>DIV</t>
  </si>
  <si>
    <t xml:space="preserve">XOR ^ </t>
  </si>
  <si>
    <t>IF</t>
  </si>
  <si>
    <t>STRING</t>
  </si>
  <si>
    <t>CASE CONVERSION</t>
  </si>
  <si>
    <t>SANA</t>
  </si>
  <si>
    <t>PRIYA</t>
  </si>
  <si>
    <t>FAIL</t>
  </si>
  <si>
    <t>priya</t>
  </si>
  <si>
    <t>RIYA</t>
  </si>
  <si>
    <t>riya</t>
  </si>
  <si>
    <t>OM</t>
  </si>
  <si>
    <t>om</t>
  </si>
  <si>
    <t>SUPRIYA</t>
  </si>
  <si>
    <t>PASS</t>
  </si>
  <si>
    <t>supriya</t>
  </si>
  <si>
    <t>SHAM</t>
  </si>
  <si>
    <t>sham</t>
  </si>
  <si>
    <t>DHRUV</t>
  </si>
  <si>
    <t>dhruv</t>
  </si>
  <si>
    <t>ADITYA</t>
  </si>
  <si>
    <t>aditya</t>
  </si>
  <si>
    <t>GIRISH</t>
  </si>
  <si>
    <t>girish</t>
  </si>
  <si>
    <r>
      <rPr>
        <rFont val="Arial"/>
        <color theme="1"/>
      </rPr>
      <t xml:space="preserve">ARRAY FORMULA ARE APPLIED TO ENTIRE RANGE OR ARRAY OF CELL =&gt; </t>
    </r>
    <r>
      <rPr>
        <rFont val="Arial"/>
        <color rgb="FFFF0000"/>
      </rPr>
      <t>=ARRAYFORMULA(A2:A10*B2:B10)</t>
    </r>
  </si>
  <si>
    <r>
      <rPr>
        <rFont val="Arial"/>
        <color theme="1"/>
      </rPr>
      <t xml:space="preserve">ADD =&gt; </t>
    </r>
    <r>
      <rPr>
        <rFont val="Arial"/>
        <color rgb="FFFF0000"/>
      </rPr>
      <t>=ARRAYFORMULA(A2:A10+B2:B10)</t>
    </r>
  </si>
  <si>
    <r>
      <rPr>
        <rFont val="Arial"/>
        <color theme="1"/>
      </rPr>
      <t xml:space="preserve">SUBTRACT =&gt; </t>
    </r>
    <r>
      <rPr>
        <rFont val="Arial"/>
        <color rgb="FFFF0000"/>
      </rPr>
      <t>=ARRAYFORMULA(B2:B10-A2:A10)</t>
    </r>
  </si>
  <si>
    <r>
      <rPr>
        <rFont val="Arial"/>
        <color theme="1"/>
      </rPr>
      <t xml:space="preserve">DIVISION =&gt; </t>
    </r>
    <r>
      <rPr>
        <rFont val="Arial"/>
        <color rgb="FFFF0000"/>
      </rPr>
      <t xml:space="preserve"> =ARRAYFORMULA(A2:A10/B2:B10)</t>
    </r>
  </si>
  <si>
    <r>
      <rPr>
        <rFont val="Arial"/>
        <color theme="1"/>
      </rPr>
      <t xml:space="preserve">XOR (WORK ON BYTE) = SAME VALUE =0 , DIFF VALUE = 1==&gt; </t>
    </r>
    <r>
      <rPr>
        <rFont val="Arial"/>
        <color rgb="FFFF0000"/>
      </rPr>
      <t>=ARRAYFORMULA(B2:B10^C2:C10)</t>
    </r>
  </si>
  <si>
    <r>
      <rPr>
        <rFont val="Arial"/>
        <color theme="1"/>
      </rPr>
      <t xml:space="preserve">CONDITION (IF) =&gt; Q. IF GRATER THAN 5 THEN PASS =&gt; </t>
    </r>
    <r>
      <rPr>
        <rFont val="Arial"/>
        <color rgb="FFFF0000"/>
      </rPr>
      <t>=ARRAYFORMULA(IF(B2:B10&gt;5,"PASS","FAIL"))</t>
    </r>
  </si>
  <si>
    <t>STUDENT NAME</t>
  </si>
  <si>
    <t>UPPER CASE</t>
  </si>
  <si>
    <t>LOWER</t>
  </si>
  <si>
    <t>charecter_COUNT</t>
  </si>
  <si>
    <t>TRIM</t>
  </si>
  <si>
    <t>charecter_COUNT AFTER TRIM</t>
  </si>
  <si>
    <t>IS NUMBER(T/F)</t>
  </si>
  <si>
    <t>IS BLANK</t>
  </si>
  <si>
    <t>XLOOKUP</t>
  </si>
  <si>
    <t xml:space="preserve"> SHEHNAZ </t>
  </si>
  <si>
    <t>JASLEEN</t>
  </si>
  <si>
    <t xml:space="preserve"> JASLEEN</t>
  </si>
  <si>
    <t xml:space="preserve"> jasleen</t>
  </si>
  <si>
    <t>XLOOKUP(A3,A2:A11,D2:D11)</t>
  </si>
  <si>
    <t xml:space="preserve"> dimple</t>
  </si>
  <si>
    <t xml:space="preserve"> DIMPLE</t>
  </si>
  <si>
    <t>dimple</t>
  </si>
  <si>
    <t>ANSARI</t>
  </si>
  <si>
    <t>XLOOKUP(J4,A2:A11,D2:D11,"Not Found")</t>
  </si>
  <si>
    <t>SARA</t>
  </si>
  <si>
    <t>sara</t>
  </si>
  <si>
    <t>SHEHNAZ</t>
  </si>
  <si>
    <t>XLOOKUP(J5,E2:E11,D2:D11)</t>
  </si>
  <si>
    <t>AYESHA</t>
  </si>
  <si>
    <t>ayesha</t>
  </si>
  <si>
    <t xml:space="preserve">    DAKSH</t>
  </si>
  <si>
    <t xml:space="preserve">    daksh</t>
  </si>
  <si>
    <t>DAKSH</t>
  </si>
  <si>
    <t>KARIN</t>
  </si>
  <si>
    <t>karin</t>
  </si>
  <si>
    <t xml:space="preserve">ARCHITA    </t>
  </si>
  <si>
    <t xml:space="preserve">archita    </t>
  </si>
  <si>
    <t>ARCHITA</t>
  </si>
  <si>
    <t xml:space="preserve">                SHREYA</t>
  </si>
  <si>
    <t xml:space="preserve">                shreya</t>
  </si>
  <si>
    <t>SHREYA</t>
  </si>
  <si>
    <t>11</t>
  </si>
  <si>
    <r>
      <rPr>
        <rFont val="Arial"/>
        <color theme="1"/>
      </rPr>
      <t xml:space="preserve">upper =&gt; </t>
    </r>
    <r>
      <rPr>
        <rFont val="Arial"/>
        <color rgb="FFFF0000"/>
      </rPr>
      <t>=ARRAYFORMULA(LOWER(A2:A11))</t>
    </r>
  </si>
  <si>
    <r>
      <rPr>
        <rFont val="Arial"/>
        <color theme="1"/>
      </rPr>
      <t xml:space="preserve">CASE CONVERSION _LOWER =&gt; </t>
    </r>
    <r>
      <rPr>
        <rFont val="Arial"/>
        <color rgb="FFFF0000"/>
      </rPr>
      <t>=ARRAYFORMULA(LOWER(D2:D))</t>
    </r>
  </si>
  <si>
    <r>
      <rPr>
        <rFont val="Arial"/>
        <color theme="1"/>
      </rPr>
      <t>charecter_COUNT =&gt;</t>
    </r>
    <r>
      <rPr>
        <rFont val="Arial"/>
        <color rgb="FFFF0000"/>
      </rPr>
      <t xml:space="preserve"> =ARRAYFORMULA(LEN(A2:A11))</t>
    </r>
  </si>
  <si>
    <r>
      <rPr>
        <rFont val="Arial"/>
        <color theme="1"/>
      </rPr>
      <t xml:space="preserve">TRIM=&gt; </t>
    </r>
    <r>
      <rPr>
        <rFont val="Arial"/>
        <color rgb="FFFF0000"/>
      </rPr>
      <t>=ARRAYFORMULA(TRIM(A2:A11))</t>
    </r>
  </si>
  <si>
    <r>
      <rPr>
        <rFont val="Arial"/>
        <color theme="1"/>
      </rPr>
      <t>IS NUMBER= &gt;</t>
    </r>
    <r>
      <rPr>
        <rFont val="Arial"/>
        <color rgb="FFFF9900"/>
      </rPr>
      <t xml:space="preserve"> </t>
    </r>
    <r>
      <rPr>
        <rFont val="Arial"/>
        <color rgb="FFFF0000"/>
      </rPr>
      <t>=ARRAYFORMULA(ISNUMBER(A2:A12))</t>
    </r>
  </si>
  <si>
    <r>
      <rPr>
        <rFont val="Arial"/>
        <color theme="1"/>
      </rPr>
      <t xml:space="preserve">IS BLANK =&gt; </t>
    </r>
    <r>
      <rPr>
        <rFont val="Arial"/>
        <color rgb="FFFF0000"/>
      </rPr>
      <t>=ARRAYFORMULA(ISBLANK(A2:A12))</t>
    </r>
  </si>
  <si>
    <t>STUDENT_ANME</t>
  </si>
  <si>
    <t>SCORE</t>
  </si>
  <si>
    <t>MEAN( AVERAGE)</t>
  </si>
  <si>
    <t>MEDIAN -. RETURN MIDDLE VALUE</t>
  </si>
  <si>
    <t xml:space="preserve">MODE -&gt; MOST frequently occuring value in data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</si>
</sst>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2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0" fillId="2" fontId="1" numFmtId="0" xfId="0" applyFont="1"/>
    <xf borderId="2" fillId="2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vertical="bottom"/>
    </xf>
    <xf borderId="2" fillId="0" fontId="1" numFmtId="0" xfId="0" applyBorder="1" applyFont="1"/>
    <xf borderId="1" fillId="2" fontId="1" numFmtId="0" xfId="0" applyAlignment="1" applyBorder="1" applyFont="1">
      <alignment horizontal="center" readingOrder="0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  <col customWidth="1" min="8" max="8" width="40.5"/>
    <col customWidth="1" min="9" max="9" width="7.63"/>
    <col customWidth="1" min="11" max="11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H1" s="2" t="s">
        <v>4</v>
      </c>
      <c r="K1" s="2" t="s">
        <v>5</v>
      </c>
      <c r="L1" s="2"/>
    </row>
    <row r="2">
      <c r="A2" s="2" t="s">
        <v>6</v>
      </c>
      <c r="B2" s="2" t="s">
        <v>7</v>
      </c>
      <c r="C2" s="2">
        <v>120.0</v>
      </c>
      <c r="D2" s="2">
        <v>300.0</v>
      </c>
      <c r="H2" s="3" t="str">
        <f>IFERROR(__xludf.DUMMYFUNCTION("QUERY(A2:C4,""SELECT A,B WHERE C&gt;100"")"),"APPLE")</f>
        <v>APPLE</v>
      </c>
      <c r="I2" s="3" t="str">
        <f>IFERROR(__xludf.DUMMYFUNCTION("""COMPUTED_VALUE"""),"MUMBAI")</f>
        <v>MUMBAI</v>
      </c>
      <c r="K2" s="3">
        <f t="array" ref="K2:K4">C2:C4*D2:D4</f>
        <v>36000</v>
      </c>
    </row>
    <row r="3">
      <c r="A3" s="2" t="s">
        <v>8</v>
      </c>
      <c r="B3" s="2" t="s">
        <v>9</v>
      </c>
      <c r="C3" s="2">
        <v>80.0</v>
      </c>
      <c r="D3" s="2">
        <v>120.0</v>
      </c>
      <c r="H3" s="3" t="str">
        <f>IFERROR(__xludf.DUMMYFUNCTION("""COMPUTED_VALUE"""),"ORANGE")</f>
        <v>ORANGE</v>
      </c>
      <c r="I3" s="3" t="str">
        <f>IFERROR(__xludf.DUMMYFUNCTION("""COMPUTED_VALUE"""),"PUNE")</f>
        <v>PUNE</v>
      </c>
      <c r="K3" s="3">
        <v>9600.0</v>
      </c>
    </row>
    <row r="4">
      <c r="A4" s="2" t="s">
        <v>10</v>
      </c>
      <c r="B4" s="2" t="s">
        <v>11</v>
      </c>
      <c r="C4" s="2">
        <v>150.0</v>
      </c>
      <c r="D4" s="2">
        <v>300.0</v>
      </c>
      <c r="K4" s="3">
        <v>45000.0</v>
      </c>
    </row>
    <row r="7">
      <c r="A7" s="2" t="s">
        <v>12</v>
      </c>
    </row>
    <row r="8">
      <c r="A8" s="2" t="s">
        <v>13</v>
      </c>
    </row>
  </sheetData>
  <mergeCells count="1">
    <mergeCell ref="A7:M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3" width="17.25"/>
  </cols>
  <sheetData>
    <row r="1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/>
      <c r="L1" s="4"/>
      <c r="M1" s="4" t="s">
        <v>24</v>
      </c>
    </row>
    <row r="2">
      <c r="A2" s="5" t="s">
        <v>25</v>
      </c>
      <c r="B2" s="5">
        <v>2.0</v>
      </c>
      <c r="C2" s="5">
        <v>10.0</v>
      </c>
      <c r="D2" s="6">
        <f t="array" ref="D2:D10">B2:B10*C2:C10</f>
        <v>20</v>
      </c>
      <c r="E2" s="6">
        <f t="array" ref="E2:E10">B2:B10+C2:C10</f>
        <v>12</v>
      </c>
      <c r="F2" s="6">
        <f t="array" ref="F2:F10">C2:C10-B2:B10</f>
        <v>8</v>
      </c>
      <c r="G2" s="6">
        <f t="array" ref="G2:G10">B2:B10/C2:C10</f>
        <v>0.2</v>
      </c>
      <c r="H2" s="6">
        <f t="array" ref="H2:H10">B2:B10^C2:C10</f>
        <v>1024</v>
      </c>
      <c r="I2" s="6" t="str">
        <f t="array" ref="I2:I10">IF(B2:B10&gt;5,"PASS","FAIL")</f>
        <v>FAIL</v>
      </c>
      <c r="J2" s="6"/>
      <c r="K2" s="6"/>
      <c r="L2" s="6"/>
      <c r="M2" s="6" t="str">
        <f t="array" ref="M2:M10">LOWER(A2:A10)</f>
        <v>sana</v>
      </c>
    </row>
    <row r="3">
      <c r="A3" s="5" t="s">
        <v>26</v>
      </c>
      <c r="B3" s="5">
        <v>3.0</v>
      </c>
      <c r="C3" s="5">
        <v>5.0</v>
      </c>
      <c r="D3" s="6">
        <v>15.0</v>
      </c>
      <c r="E3" s="6">
        <v>8.0</v>
      </c>
      <c r="F3" s="6">
        <v>2.0</v>
      </c>
      <c r="G3" s="6">
        <v>0.6</v>
      </c>
      <c r="H3" s="6">
        <v>243.0</v>
      </c>
      <c r="I3" s="6" t="s">
        <v>27</v>
      </c>
      <c r="J3" s="6"/>
      <c r="K3" s="6"/>
      <c r="L3" s="6"/>
      <c r="M3" s="6" t="s">
        <v>28</v>
      </c>
    </row>
    <row r="4">
      <c r="A4" s="5" t="s">
        <v>29</v>
      </c>
      <c r="B4" s="5">
        <v>4.0</v>
      </c>
      <c r="C4" s="5">
        <v>8.0</v>
      </c>
      <c r="D4" s="6">
        <v>32.0</v>
      </c>
      <c r="E4" s="6">
        <v>12.0</v>
      </c>
      <c r="F4" s="6">
        <v>4.0</v>
      </c>
      <c r="G4" s="6">
        <v>0.5</v>
      </c>
      <c r="H4" s="6">
        <v>65536.0</v>
      </c>
      <c r="I4" s="6" t="s">
        <v>27</v>
      </c>
      <c r="J4" s="6"/>
      <c r="K4" s="6"/>
      <c r="L4" s="6"/>
      <c r="M4" s="6" t="s">
        <v>30</v>
      </c>
    </row>
    <row r="5">
      <c r="A5" s="5" t="s">
        <v>31</v>
      </c>
      <c r="B5" s="5">
        <v>5.0</v>
      </c>
      <c r="C5" s="5">
        <v>6.0</v>
      </c>
      <c r="D5" s="6">
        <v>30.0</v>
      </c>
      <c r="E5" s="6">
        <v>11.0</v>
      </c>
      <c r="F5" s="6">
        <v>1.0</v>
      </c>
      <c r="G5" s="6">
        <v>0.8333333333333334</v>
      </c>
      <c r="H5" s="6">
        <v>15625.0</v>
      </c>
      <c r="I5" s="6" t="s">
        <v>27</v>
      </c>
      <c r="J5" s="6"/>
      <c r="K5" s="6"/>
      <c r="L5" s="6"/>
      <c r="M5" s="6" t="s">
        <v>32</v>
      </c>
    </row>
    <row r="6">
      <c r="A6" s="5" t="s">
        <v>33</v>
      </c>
      <c r="B6" s="5">
        <v>7.0</v>
      </c>
      <c r="C6" s="5">
        <v>9.0</v>
      </c>
      <c r="D6" s="6">
        <v>63.0</v>
      </c>
      <c r="E6" s="6">
        <v>16.0</v>
      </c>
      <c r="F6" s="6">
        <v>2.0</v>
      </c>
      <c r="G6" s="6">
        <v>0.7777777777777778</v>
      </c>
      <c r="H6" s="6">
        <v>4.0353607E7</v>
      </c>
      <c r="I6" s="6" t="s">
        <v>34</v>
      </c>
      <c r="J6" s="6"/>
      <c r="K6" s="6"/>
      <c r="L6" s="6"/>
      <c r="M6" s="6" t="s">
        <v>35</v>
      </c>
    </row>
    <row r="7">
      <c r="A7" s="5" t="s">
        <v>36</v>
      </c>
      <c r="B7" s="5">
        <v>4.0</v>
      </c>
      <c r="C7" s="5">
        <v>4.0</v>
      </c>
      <c r="D7" s="6">
        <v>16.0</v>
      </c>
      <c r="E7" s="6">
        <v>8.0</v>
      </c>
      <c r="F7" s="6">
        <v>0.0</v>
      </c>
      <c r="G7" s="6">
        <v>1.0</v>
      </c>
      <c r="H7" s="6">
        <v>256.0</v>
      </c>
      <c r="I7" s="6" t="s">
        <v>27</v>
      </c>
      <c r="J7" s="6"/>
      <c r="K7" s="6"/>
      <c r="L7" s="6"/>
      <c r="M7" s="6" t="s">
        <v>37</v>
      </c>
    </row>
    <row r="8">
      <c r="A8" s="5" t="s">
        <v>38</v>
      </c>
      <c r="B8" s="5">
        <v>10.0</v>
      </c>
      <c r="C8" s="5">
        <v>3.0</v>
      </c>
      <c r="D8" s="6">
        <v>30.0</v>
      </c>
      <c r="E8" s="6">
        <v>13.0</v>
      </c>
      <c r="F8" s="6">
        <v>-7.0</v>
      </c>
      <c r="G8" s="6">
        <v>3.3333333333333335</v>
      </c>
      <c r="H8" s="6">
        <v>1000.0</v>
      </c>
      <c r="I8" s="6" t="s">
        <v>34</v>
      </c>
      <c r="J8" s="6"/>
      <c r="K8" s="6"/>
      <c r="L8" s="6"/>
      <c r="M8" s="6" t="s">
        <v>39</v>
      </c>
    </row>
    <row r="9">
      <c r="A9" s="5" t="s">
        <v>40</v>
      </c>
      <c r="B9" s="5">
        <v>6.0</v>
      </c>
      <c r="C9" s="5">
        <v>1.0</v>
      </c>
      <c r="D9" s="6">
        <v>6.0</v>
      </c>
      <c r="E9" s="6">
        <v>7.0</v>
      </c>
      <c r="F9" s="6">
        <v>-5.0</v>
      </c>
      <c r="G9" s="6">
        <v>6.0</v>
      </c>
      <c r="H9" s="6">
        <v>6.0</v>
      </c>
      <c r="I9" s="6" t="s">
        <v>34</v>
      </c>
      <c r="J9" s="6"/>
      <c r="K9" s="6"/>
      <c r="L9" s="6"/>
      <c r="M9" s="6" t="s">
        <v>41</v>
      </c>
    </row>
    <row r="10">
      <c r="A10" s="5" t="s">
        <v>42</v>
      </c>
      <c r="B10" s="5">
        <v>7.0</v>
      </c>
      <c r="C10" s="5">
        <v>5.0</v>
      </c>
      <c r="D10" s="6">
        <v>35.0</v>
      </c>
      <c r="E10" s="6">
        <v>12.0</v>
      </c>
      <c r="F10" s="6">
        <v>-2.0</v>
      </c>
      <c r="G10" s="6">
        <v>1.4</v>
      </c>
      <c r="H10" s="6">
        <v>16807.0</v>
      </c>
      <c r="I10" s="6" t="s">
        <v>34</v>
      </c>
      <c r="J10" s="6"/>
      <c r="K10" s="6"/>
      <c r="L10" s="6"/>
      <c r="M10" s="6" t="s">
        <v>43</v>
      </c>
    </row>
    <row r="13">
      <c r="A13" s="2"/>
      <c r="B13" s="2" t="s">
        <v>44</v>
      </c>
    </row>
    <row r="14">
      <c r="A14" s="2"/>
      <c r="B14" s="2" t="s">
        <v>45</v>
      </c>
    </row>
    <row r="15">
      <c r="A15" s="2"/>
      <c r="B15" s="2" t="s">
        <v>46</v>
      </c>
    </row>
    <row r="16">
      <c r="A16" s="2"/>
      <c r="B16" s="2" t="s">
        <v>47</v>
      </c>
    </row>
    <row r="17">
      <c r="B17" s="2" t="s">
        <v>48</v>
      </c>
    </row>
    <row r="18">
      <c r="B18" s="2" t="s">
        <v>49</v>
      </c>
    </row>
    <row r="23">
      <c r="B2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6" max="6" width="25.25"/>
    <col customWidth="1" min="10" max="10" width="24.0"/>
    <col customWidth="1" min="11" max="11" width="33.13"/>
  </cols>
  <sheetData>
    <row r="1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4" t="s">
        <v>56</v>
      </c>
      <c r="H1" s="8" t="s">
        <v>57</v>
      </c>
      <c r="I1" s="9"/>
      <c r="J1" s="10" t="s">
        <v>58</v>
      </c>
      <c r="K1" s="11"/>
      <c r="L1" s="12"/>
    </row>
    <row r="2">
      <c r="A2" s="13" t="s">
        <v>59</v>
      </c>
      <c r="B2" s="6" t="str">
        <f t="array" ref="B2:B12">UPPER(A2:A12)</f>
        <v> SHEHNAZ </v>
      </c>
      <c r="C2" s="6" t="str">
        <f t="array" ref="C2:C12">LOWER(A2:A12)</f>
        <v> shehnaz </v>
      </c>
      <c r="D2" s="6">
        <f t="array" ref="D2:D12">LEN(A2:A12)</f>
        <v>9</v>
      </c>
      <c r="E2" s="14" t="str">
        <f t="array" ref="E2:E12">TRIM(A2:A12)</f>
        <v>SHEHNAZ</v>
      </c>
      <c r="F2" s="6">
        <f t="array" ref="F2:F12">LEN(E2:E12)</f>
        <v>7</v>
      </c>
      <c r="G2" s="6" t="b">
        <f t="array" ref="G2:G12">ISNUMBER(A2:A12)</f>
        <v>0</v>
      </c>
      <c r="H2" s="15" t="b">
        <f t="array" ref="H2:H12">ISBLANK(A2:A12)</f>
        <v>0</v>
      </c>
      <c r="J2" s="13" t="s">
        <v>60</v>
      </c>
      <c r="K2" s="6"/>
      <c r="L2" s="6">
        <f t="array" ref="L2">XLOOKUP(A3,A2:A11,D2:D11)</f>
        <v>8</v>
      </c>
    </row>
    <row r="3">
      <c r="A3" s="13" t="s">
        <v>61</v>
      </c>
      <c r="B3" s="6" t="s">
        <v>61</v>
      </c>
      <c r="C3" s="6" t="s">
        <v>62</v>
      </c>
      <c r="D3" s="6">
        <v>8.0</v>
      </c>
      <c r="E3" s="14" t="s">
        <v>60</v>
      </c>
      <c r="F3" s="6">
        <v>7.0</v>
      </c>
      <c r="G3" s="6" t="b">
        <v>0</v>
      </c>
      <c r="H3" s="15" t="b">
        <v>0</v>
      </c>
      <c r="J3" s="5" t="s">
        <v>63</v>
      </c>
      <c r="K3" s="6"/>
      <c r="L3" s="6"/>
    </row>
    <row r="4">
      <c r="A4" s="13" t="s">
        <v>64</v>
      </c>
      <c r="B4" s="6" t="s">
        <v>65</v>
      </c>
      <c r="C4" s="6" t="s">
        <v>64</v>
      </c>
      <c r="D4" s="6">
        <v>7.0</v>
      </c>
      <c r="E4" s="14" t="s">
        <v>66</v>
      </c>
      <c r="F4" s="6">
        <v>6.0</v>
      </c>
      <c r="G4" s="6" t="b">
        <v>0</v>
      </c>
      <c r="H4" s="15" t="b">
        <v>0</v>
      </c>
      <c r="J4" s="5" t="s">
        <v>67</v>
      </c>
      <c r="K4" s="5" t="s">
        <v>68</v>
      </c>
      <c r="L4" s="6" t="str">
        <f t="array" ref="L4">XLOOKUP(J4,A2:A11,D2:D11,"Not Found")</f>
        <v>Not Found</v>
      </c>
    </row>
    <row r="5">
      <c r="A5" s="13" t="s">
        <v>69</v>
      </c>
      <c r="B5" s="6" t="s">
        <v>69</v>
      </c>
      <c r="C5" s="6" t="s">
        <v>70</v>
      </c>
      <c r="D5" s="6">
        <v>4.0</v>
      </c>
      <c r="E5" s="14" t="s">
        <v>69</v>
      </c>
      <c r="F5" s="6">
        <v>4.0</v>
      </c>
      <c r="G5" s="6" t="b">
        <v>0</v>
      </c>
      <c r="H5" s="15" t="b">
        <v>0</v>
      </c>
      <c r="J5" s="5" t="s">
        <v>71</v>
      </c>
      <c r="K5" s="5" t="s">
        <v>72</v>
      </c>
      <c r="L5" s="6">
        <f t="array" ref="L5">XLOOKUP(J5,E2:E11,D2:D11)</f>
        <v>9</v>
      </c>
    </row>
    <row r="6">
      <c r="A6" s="13" t="s">
        <v>73</v>
      </c>
      <c r="B6" s="6" t="s">
        <v>73</v>
      </c>
      <c r="C6" s="6" t="s">
        <v>74</v>
      </c>
      <c r="D6" s="6">
        <v>6.0</v>
      </c>
      <c r="E6" s="14" t="s">
        <v>73</v>
      </c>
      <c r="F6" s="6">
        <v>6.0</v>
      </c>
      <c r="G6" s="6" t="b">
        <v>0</v>
      </c>
      <c r="H6" s="15" t="b">
        <v>0</v>
      </c>
      <c r="J6" s="6"/>
      <c r="K6" s="6"/>
      <c r="L6" s="6"/>
    </row>
    <row r="7">
      <c r="A7" s="13" t="s">
        <v>75</v>
      </c>
      <c r="B7" s="6" t="s">
        <v>75</v>
      </c>
      <c r="C7" s="6" t="s">
        <v>76</v>
      </c>
      <c r="D7" s="6">
        <v>9.0</v>
      </c>
      <c r="E7" s="14" t="s">
        <v>77</v>
      </c>
      <c r="F7" s="6">
        <v>5.0</v>
      </c>
      <c r="G7" s="6" t="b">
        <v>0</v>
      </c>
      <c r="H7" s="15" t="b">
        <v>0</v>
      </c>
      <c r="J7" s="6"/>
      <c r="K7" s="6"/>
      <c r="L7" s="6"/>
    </row>
    <row r="8">
      <c r="A8" s="13" t="s">
        <v>29</v>
      </c>
      <c r="B8" s="6" t="s">
        <v>29</v>
      </c>
      <c r="C8" s="6" t="s">
        <v>30</v>
      </c>
      <c r="D8" s="6">
        <v>4.0</v>
      </c>
      <c r="E8" s="14" t="s">
        <v>29</v>
      </c>
      <c r="F8" s="6">
        <v>4.0</v>
      </c>
      <c r="G8" s="6" t="b">
        <v>0</v>
      </c>
      <c r="H8" s="15" t="b">
        <v>0</v>
      </c>
      <c r="J8" s="6"/>
      <c r="K8" s="6"/>
      <c r="L8" s="6"/>
    </row>
    <row r="9">
      <c r="A9" s="13" t="s">
        <v>78</v>
      </c>
      <c r="B9" s="6" t="s">
        <v>78</v>
      </c>
      <c r="C9" s="6" t="s">
        <v>79</v>
      </c>
      <c r="D9" s="6">
        <v>5.0</v>
      </c>
      <c r="E9" s="14" t="s">
        <v>78</v>
      </c>
      <c r="F9" s="6">
        <v>5.0</v>
      </c>
      <c r="G9" s="6" t="b">
        <v>0</v>
      </c>
      <c r="H9" s="15" t="b">
        <v>0</v>
      </c>
      <c r="J9" s="6"/>
      <c r="K9" s="6"/>
      <c r="L9" s="6"/>
    </row>
    <row r="10">
      <c r="A10" s="13" t="s">
        <v>80</v>
      </c>
      <c r="B10" s="6" t="s">
        <v>80</v>
      </c>
      <c r="C10" s="6" t="s">
        <v>81</v>
      </c>
      <c r="D10" s="6">
        <v>11.0</v>
      </c>
      <c r="E10" s="14" t="s">
        <v>82</v>
      </c>
      <c r="F10" s="6">
        <v>7.0</v>
      </c>
      <c r="G10" s="6" t="b">
        <v>0</v>
      </c>
      <c r="H10" s="15" t="b">
        <v>0</v>
      </c>
      <c r="J10" s="6"/>
      <c r="K10" s="6"/>
      <c r="L10" s="6"/>
    </row>
    <row r="11">
      <c r="A11" s="13" t="s">
        <v>83</v>
      </c>
      <c r="B11" s="6" t="s">
        <v>83</v>
      </c>
      <c r="C11" s="6" t="s">
        <v>84</v>
      </c>
      <c r="D11" s="6">
        <v>22.0</v>
      </c>
      <c r="E11" s="14" t="s">
        <v>85</v>
      </c>
      <c r="F11" s="6">
        <v>6.0</v>
      </c>
      <c r="G11" s="6" t="b">
        <v>0</v>
      </c>
      <c r="H11" s="15" t="b">
        <v>0</v>
      </c>
      <c r="J11" s="6"/>
      <c r="K11" s="6"/>
      <c r="L11" s="6"/>
    </row>
    <row r="12">
      <c r="A12" s="5">
        <v>11.0</v>
      </c>
      <c r="B12" s="6" t="s">
        <v>86</v>
      </c>
      <c r="C12" s="6" t="s">
        <v>86</v>
      </c>
      <c r="D12" s="6">
        <v>2.0</v>
      </c>
      <c r="E12" s="6" t="s">
        <v>86</v>
      </c>
      <c r="F12" s="6">
        <v>2.0</v>
      </c>
      <c r="G12" s="6" t="b">
        <v>1</v>
      </c>
      <c r="H12" s="15" t="b">
        <v>0</v>
      </c>
      <c r="J12" s="6"/>
      <c r="K12" s="6"/>
      <c r="L12" s="6"/>
    </row>
    <row r="13">
      <c r="A13" s="2"/>
    </row>
    <row r="14">
      <c r="A14" s="2"/>
    </row>
    <row r="15">
      <c r="A15" s="2"/>
    </row>
    <row r="16">
      <c r="A16" s="2" t="s">
        <v>87</v>
      </c>
    </row>
    <row r="17">
      <c r="A17" s="2" t="s">
        <v>88</v>
      </c>
    </row>
    <row r="18">
      <c r="A18" s="2" t="s">
        <v>89</v>
      </c>
    </row>
    <row r="19">
      <c r="A19" s="2" t="s">
        <v>90</v>
      </c>
    </row>
    <row r="20">
      <c r="A20" s="2" t="s">
        <v>91</v>
      </c>
    </row>
    <row r="21">
      <c r="A21" s="2" t="s">
        <v>92</v>
      </c>
    </row>
  </sheetData>
  <mergeCells count="1">
    <mergeCell ref="J1: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</cols>
  <sheetData>
    <row r="1">
      <c r="A1" s="16" t="s">
        <v>93</v>
      </c>
      <c r="B1" s="16" t="s">
        <v>94</v>
      </c>
    </row>
    <row r="2">
      <c r="A2" s="14" t="s">
        <v>71</v>
      </c>
      <c r="B2" s="5">
        <v>80.0</v>
      </c>
      <c r="C2" s="2"/>
    </row>
    <row r="3">
      <c r="A3" s="14" t="s">
        <v>60</v>
      </c>
      <c r="B3" s="5">
        <v>43.0</v>
      </c>
    </row>
    <row r="4">
      <c r="A4" s="14" t="s">
        <v>66</v>
      </c>
      <c r="B4" s="5">
        <v>54.0</v>
      </c>
    </row>
    <row r="5">
      <c r="A5" s="14" t="s">
        <v>69</v>
      </c>
      <c r="B5" s="5">
        <v>67.0</v>
      </c>
    </row>
    <row r="6">
      <c r="A6" s="14" t="s">
        <v>73</v>
      </c>
      <c r="B6" s="5">
        <v>66.0</v>
      </c>
    </row>
    <row r="7">
      <c r="A7" s="14" t="s">
        <v>77</v>
      </c>
      <c r="B7" s="5">
        <v>54.0</v>
      </c>
    </row>
    <row r="8">
      <c r="A8" s="14" t="s">
        <v>29</v>
      </c>
      <c r="B8" s="5">
        <v>22.0</v>
      </c>
    </row>
    <row r="9">
      <c r="A9" s="14" t="s">
        <v>78</v>
      </c>
      <c r="B9" s="5">
        <v>43.0</v>
      </c>
    </row>
    <row r="10">
      <c r="A10" s="14" t="s">
        <v>82</v>
      </c>
      <c r="B10" s="5">
        <v>66.0</v>
      </c>
    </row>
    <row r="11">
      <c r="A11" s="14" t="s">
        <v>85</v>
      </c>
      <c r="B11" s="5">
        <v>33.0</v>
      </c>
    </row>
    <row r="13">
      <c r="A13" s="4" t="s">
        <v>95</v>
      </c>
      <c r="B13" s="6">
        <f>AVERAGE(B2:B11)</f>
        <v>52.8</v>
      </c>
    </row>
    <row r="14">
      <c r="A14" s="4" t="s">
        <v>96</v>
      </c>
      <c r="B14" s="6">
        <f>MEDIAN(B2:B11)</f>
        <v>54</v>
      </c>
    </row>
    <row r="15">
      <c r="A15" s="4" t="s">
        <v>97</v>
      </c>
      <c r="B15" s="6">
        <f>MODE(B2:B11)</f>
        <v>43</v>
      </c>
    </row>
    <row r="16">
      <c r="A16" s="17"/>
    </row>
    <row r="17">
      <c r="A17" s="17"/>
    </row>
    <row r="18">
      <c r="A18" s="17"/>
    </row>
  </sheetData>
  <drawing r:id="rId1"/>
</worksheet>
</file>